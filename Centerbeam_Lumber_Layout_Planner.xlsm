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7A53AF7D-FD25-4595-B300-8D2825087B9D}" xr6:coauthVersionLast="47" xr6:coauthVersionMax="47" xr10:uidLastSave="{00000000-0000-0000-0000-000000000000}"/>
  <bookViews>
    <workbookView xWindow="2748" yWindow="4908" windowWidth="19560" windowHeight="17880" tabRatio="500" activeTab="1" xr2:uid="{00000000-000D-0000-FFFF-FFFF00000000}"/>
  </bookViews>
  <sheets>
    <sheet name="Planner" sheetId="1" r:id="rId1"/>
    <sheet name="Manifest" sheetId="2" r:id="rId2"/>
    <sheet name="How to Use" sheetId="5" r:id="rId3"/>
    <sheet name="Pattern Library" sheetId="3" r:id="rId4"/>
    <sheet name="Auto-Solve (VBA)" sheetId="4" r:id="rId5"/>
  </sheets>
  <functionGroups builtInGroupCount="19"/>
  <definedNames>
    <definedName name="_xlnm.Print_Area" localSheetId="1">Manifest!$A$1:$L$36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54" i="2" l="1"/>
  <c r="F54" i="2"/>
  <c r="E54" i="2"/>
  <c r="D54" i="2"/>
  <c r="C54" i="2"/>
  <c r="B54" i="2"/>
  <c r="G53" i="2"/>
  <c r="F53" i="2"/>
  <c r="E53" i="2"/>
  <c r="D53" i="2"/>
  <c r="C53" i="2"/>
  <c r="B53" i="2"/>
  <c r="G52" i="2"/>
  <c r="F52" i="2"/>
  <c r="E52" i="2"/>
  <c r="D52" i="2"/>
  <c r="C52" i="2"/>
  <c r="B52" i="2"/>
  <c r="G51" i="2"/>
  <c r="F51" i="2"/>
  <c r="E51" i="2"/>
  <c r="D51" i="2"/>
  <c r="C51" i="2"/>
  <c r="B51" i="2"/>
  <c r="F50" i="2"/>
  <c r="E50" i="2"/>
  <c r="D50" i="2"/>
  <c r="C50" i="2"/>
  <c r="B50" i="2"/>
  <c r="G49" i="2"/>
  <c r="F49" i="2"/>
  <c r="E49" i="2"/>
  <c r="D49" i="2"/>
  <c r="B49" i="2"/>
  <c r="G48" i="2"/>
  <c r="F48" i="2"/>
  <c r="E48" i="2"/>
  <c r="D48" i="2"/>
  <c r="C63" i="2"/>
  <c r="B63" i="2"/>
  <c r="C62" i="2"/>
  <c r="B62" i="2"/>
  <c r="G61" i="2"/>
  <c r="F61" i="2"/>
  <c r="C61" i="2"/>
  <c r="B61" i="2"/>
  <c r="G60" i="2"/>
  <c r="F60" i="2"/>
  <c r="C60" i="2"/>
  <c r="B60" i="2"/>
  <c r="G59" i="2"/>
  <c r="F59" i="2"/>
  <c r="B7" i="2"/>
  <c r="B5" i="2"/>
  <c r="K47" i="1"/>
  <c r="L47" i="1" s="1"/>
  <c r="K46" i="1"/>
  <c r="L46" i="1" s="1"/>
  <c r="K45" i="1"/>
  <c r="L45" i="1" s="1"/>
  <c r="K44" i="1"/>
  <c r="L44" i="1" s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F29" i="1"/>
  <c r="I28" i="1"/>
  <c r="H28" i="1"/>
  <c r="G28" i="1"/>
  <c r="F28" i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L15" i="1"/>
  <c r="I15" i="1"/>
  <c r="H15" i="1"/>
  <c r="G15" i="1"/>
  <c r="F15" i="1"/>
  <c r="G14" i="1"/>
  <c r="F14" i="1"/>
  <c r="G13" i="1"/>
  <c r="F13" i="1"/>
  <c r="G12" i="1"/>
  <c r="F12" i="1"/>
  <c r="L11" i="1"/>
  <c r="G11" i="1"/>
  <c r="F11" i="1"/>
  <c r="G10" i="1"/>
  <c r="F10" i="1"/>
  <c r="F30" i="1" l="1"/>
  <c r="B6" i="2" s="1"/>
  <c r="L41" i="1"/>
  <c r="I13" i="1"/>
  <c r="C59" i="2" s="1"/>
  <c r="H52" i="2"/>
  <c r="C49" i="2"/>
  <c r="H49" i="2" s="1"/>
  <c r="I10" i="1"/>
  <c r="I14" i="1"/>
  <c r="G57" i="2" s="1"/>
  <c r="H11" i="1"/>
  <c r="H53" i="2"/>
  <c r="I11" i="1"/>
  <c r="H12" i="1"/>
  <c r="F57" i="2"/>
  <c r="H51" i="2"/>
  <c r="B58" i="2"/>
  <c r="B59" i="2"/>
  <c r="I12" i="1"/>
  <c r="H54" i="2"/>
  <c r="H13" i="1"/>
  <c r="L37" i="1"/>
  <c r="H14" i="1"/>
  <c r="L38" i="1"/>
  <c r="B57" i="2"/>
  <c r="C57" i="2"/>
  <c r="L39" i="1"/>
  <c r="G30" i="1"/>
  <c r="F58" i="2"/>
  <c r="F62" i="2"/>
  <c r="L35" i="1"/>
  <c r="B48" i="2"/>
  <c r="C48" i="2"/>
  <c r="H10" i="1"/>
  <c r="G50" i="2"/>
  <c r="H50" i="2" s="1"/>
  <c r="C58" i="2" l="1"/>
  <c r="L10" i="1"/>
  <c r="L12" i="1"/>
  <c r="L13" i="1"/>
  <c r="G62" i="2"/>
  <c r="H48" i="2"/>
  <c r="I30" i="1"/>
  <c r="G58" i="2"/>
  <c r="H30" i="1"/>
  <c r="L17" i="1"/>
  <c r="L14" i="1"/>
</calcChain>
</file>

<file path=xl/sharedStrings.xml><?xml version="1.0" encoding="utf-8"?>
<sst xmlns="http://schemas.openxmlformats.org/spreadsheetml/2006/main" count="695" uniqueCount="497">
  <si>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</si>
  <si>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</si>
  <si>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</si>
  <si>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</si>
  <si>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</si>
  <si>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</si>
  <si>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</si>
  <si>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</si>
  <si>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</si>
  <si>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</si>
  <si>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</si>
  <si>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</si>
  <si>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</si>
  <si>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</si>
  <si>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</si>
  <si>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</si>
  <si>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</si>
  <si>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</si>
  <si>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</si>
  <si>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</si>
  <si>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</si>
  <si>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</si>
  <si>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</si>
  <si>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</si>
  <si>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</si>
  <si>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</si>
  <si>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</si>
  <si>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</si>
  <si>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</si>
  <si>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</si>
  <si>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</si>
  <si>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</si>
  <si>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</si>
  <si>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</si>
  <si>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</si>
  <si>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</si>
  <si>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</si>
  <si>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</si>
  <si>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</si>
  <si>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</si>
  <si>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</si>
  <si>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</si>
  <si>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</si>
  <si>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</si>
  <si>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</si>
  <si>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</si>
  <si>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</si>
  <si>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</si>
  <si>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</si>
  <si>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</si>
  <si>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</si>
  <si>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</si>
  <si>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</si>
  <si>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</si>
  <si>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</si>
  <si>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</si>
  <si>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</si>
  <si>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</si>
  <si>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</si>
  <si>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</si>
  <si>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</si>
  <si>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</si>
  <si>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</si>
  <si>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</si>
  <si>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</si>
  <si>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</si>
  <si>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</si>
  <si>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</si>
  <si>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</si>
  <si>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</si>
  <si>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</si>
  <si>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</si>
  <si>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</si>
  <si>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</si>
  <si>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</si>
  <si>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</si>
  <si>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</si>
  <si>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</si>
  <si>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</si>
  <si>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</si>
  <si>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</si>
  <si>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</si>
  <si>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</si>
  <si>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</si>
  <si>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</si>
  <si>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</si>
  <si>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</si>
  <si>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</si>
  <si>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</si>
  <si>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</si>
  <si>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</si>
  <si>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</si>
  <si>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</si>
  <si>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</si>
  <si>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</si>
  <si>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</si>
  <si>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</si>
  <si>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</si>
  <si>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</si>
  <si>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</si>
  <si>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</si>
  <si>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</si>
  <si>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</si>
  <si>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</si>
  <si>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</si>
  <si>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</si>
  <si>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</si>
  <si>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</si>
  <si>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</si>
  <si>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</si>
  <si>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</si>
  <si>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</si>
  <si>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</si>
  <si>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</si>
  <si>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</si>
  <si>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</si>
  <si>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</si>
  <si>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</si>
  <si>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</si>
  <si>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</si>
  <si>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</si>
  <si>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</si>
  <si>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</si>
  <si>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</si>
  <si>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</si>
  <si>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</si>
  <si>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</si>
  <si>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</si>
  <si>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</si>
  <si>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</si>
  <si>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</si>
  <si>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</si>
  <si>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</si>
  <si>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</si>
  <si>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</si>
  <si>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</si>
  <si>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</si>
  <si>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</si>
  <si>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</si>
  <si>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</si>
  <si>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</si>
  <si>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</si>
  <si>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</si>
  <si>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</si>
  <si>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</si>
  <si>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</si>
  <si>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</si>
  <si>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</si>
  <si>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</si>
  <si>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</si>
  <si>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</si>
  <si>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</si>
  <si>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</si>
  <si>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</si>
  <si>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</si>
  <si>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</si>
  <si>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</si>
  <si>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</si>
  <si>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</si>
  <si>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</si>
  <si>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</si>
  <si>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</si>
  <si>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</si>
  <si>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</si>
  <si>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</si>
  <si>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</si>
  <si>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</si>
  <si>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</si>
  <si>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</si>
  <si>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</si>
  <si>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</si>
  <si>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</si>
  <si>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</si>
  <si>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</si>
  <si>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</si>
  <si>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</si>
  <si>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</si>
  <si>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</si>
  <si>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</si>
  <si>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</si>
  <si>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</si>
  <si>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</si>
  <si>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</si>
  <si>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</si>
  <si>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</si>
  <si>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</si>
  <si>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</si>
  <si>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</si>
  <si>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</si>
  <si>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</si>
  <si>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</si>
  <si>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</si>
  <si>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</si>
  <si>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</si>
  <si>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</si>
  <si>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</si>
  <si>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</si>
  <si>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</si>
  <si>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</si>
  <si>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</si>
  <si>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</si>
  <si>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</si>
  <si>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</si>
  <si>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</si>
  <si>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</si>
  <si>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</si>
  <si>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</si>
  <si>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</si>
  <si>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</si>
  <si>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</si>
  <si>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</si>
  <si>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</si>
  <si>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</si>
  <si>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</si>
  <si>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</si>
  <si>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</si>
  <si>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</si>
  <si>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</si>
  <si>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</si>
  <si>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</si>
  <si>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</si>
  <si>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</si>
  <si>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</si>
  <si>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</si>
  <si>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</si>
  <si>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</si>
  <si>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</si>
  <si>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</si>
  <si>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</si>
  <si>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</si>
  <si>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</si>
  <si>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</si>
  <si>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</si>
  <si>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</si>
  <si>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</si>
  <si>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</si>
  <si>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</si>
  <si>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</si>
  <si>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</si>
  <si>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</si>
  <si>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</si>
  <si>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</si>
  <si>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</si>
  <si>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</si>
  <si>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</si>
  <si>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</si>
  <si>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</si>
  <si>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</si>
  <si>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</si>
  <si>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</si>
  <si>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</si>
  <si>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</si>
  <si>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</si>
  <si>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</si>
  <si>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</si>
  <si>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</si>
  <si>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</si>
  <si>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</si>
  <si>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</si>
  <si>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</si>
  <si>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</si>
  <si>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</si>
  <si>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</si>
  <si>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</si>
  <si>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</si>
  <si>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</si>
  <si>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</si>
  <si>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</si>
  <si>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</si>
  <si>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</si>
  <si>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</si>
  <si>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</si>
  <si>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</si>
  <si>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</si>
  <si>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</si>
  <si>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</si>
  <si>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</si>
  <si>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</si>
  <si>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</si>
  <si>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</si>
  <si>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</si>
  <si>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</si>
  <si>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</si>
  <si>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</si>
  <si>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</si>
  <si>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</si>
  <si>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</si>
  <si>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</si>
  <si>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</si>
  <si>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</si>
  <si>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</si>
  <si>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</si>
  <si>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</si>
  <si>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</si>
  <si>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</si>
  <si>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</si>
  <si>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</si>
  <si>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</si>
  <si>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</si>
  <si>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</si>
  <si>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</si>
  <si>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</si>
  <si>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</si>
  <si>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</si>
  <si>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</si>
  <si>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</si>
  <si>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</si>
  <si>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</si>
  <si>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</si>
  <si>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</si>
  <si>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</si>
  <si>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</si>
  <si>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</si>
  <si>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</si>
  <si>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</si>
  <si>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</si>
  <si>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</si>
  <si>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</si>
  <si>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</si>
  <si>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</si>
  <si>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</si>
  <si>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</si>
  <si>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</si>
  <si>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</si>
  <si>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</si>
  <si>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</si>
  <si>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</si>
  <si>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</si>
  <si>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</si>
  <si>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</si>
  <si>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</si>
  <si>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</si>
  <si>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</si>
  <si>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</si>
  <si>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</si>
  <si>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</si>
  <si>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</si>
  <si>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</si>
  <si>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</si>
  <si>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</si>
  <si>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</si>
  <si>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</si>
  <si>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</si>
  <si>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</si>
  <si>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</si>
  <si>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</si>
  <si>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</si>
  <si>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</si>
  <si>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</si>
  <si>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</si>
  <si>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</si>
  <si>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</si>
  <si>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</si>
  <si>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</si>
  <si>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</si>
  <si>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</si>
  <si>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</si>
  <si>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</si>
  <si>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</si>
  <si>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</si>
  <si>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</si>
  <si>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</si>
  <si>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</si>
  <si>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</si>
  <si>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</si>
  <si>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</si>
  <si>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</si>
  <si>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</si>
  <si>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</si>
  <si>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</si>
  <si>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</si>
  <si>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</si>
  <si>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</si>
  <si>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</si>
  <si>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</si>
  <si>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</si>
  <si>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</si>
  <si>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</si>
  <si>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</si>
  <si>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</si>
  <si>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</si>
  <si>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</si>
  <si>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</si>
  <si>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</si>
  <si>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</si>
  <si>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</si>
  <si>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</si>
  <si>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</si>
  <si>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</si>
  <si>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</si>
  <si>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</si>
  <si>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</si>
  <si>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</si>
  <si>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</si>
  <si>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</si>
  <si>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</si>
  <si>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</si>
  <si>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</si>
  <si>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</si>
  <si>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</si>
  <si>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</si>
  <si>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</si>
  <si>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</si>
  <si>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</si>
  <si>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</si>
  <si>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</si>
  <si>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</si>
  <si>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</si>
  <si>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</si>
  <si>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</si>
  <si>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</si>
  <si>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</si>
  <si>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</si>
  <si>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</si>
  <si>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</si>
  <si>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</si>
  <si>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</si>
  <si>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</si>
  <si>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</si>
  <si>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</si>
  <si>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</si>
  <si>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</si>
  <si>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</si>
  <si>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</si>
  <si>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</si>
  <si>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</si>
  <si>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</si>
  <si>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</si>
  <si>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</si>
  <si>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</si>
  <si>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</si>
  <si>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</si>
  <si>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</si>
  <si>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</si>
  <si>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</si>
  <si>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</si>
  <si>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</si>
  <si>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</si>
  <si>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</si>
  <si>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</si>
  <si>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</si>
  <si>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</si>
  <si>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</si>
  <si>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</si>
  <si>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</si>
  <si>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</si>
  <si>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</si>
  <si>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</si>
  <si>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</si>
  <si>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</si>
  <si>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</si>
  <si>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</si>
  <si>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</si>
  <si>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</si>
  <si>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</si>
  <si>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</si>
  <si>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</si>
  <si>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</si>
  <si>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</si>
  <si>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</si>
  <si>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</si>
  <si>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</si>
  <si>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</si>
  <si>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</si>
  <si>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</si>
  <si>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</si>
  <si>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</si>
  <si>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</si>
  <si>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</si>
  <si>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</si>
  <si>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</si>
  <si>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</si>
  <si>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</si>
  <si>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</si>
  <si>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</si>
  <si>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</si>
  <si>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</si>
  <si>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</si>
  <si>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</si>
  <si>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</si>
  <si>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</si>
  <si>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</si>
  <si>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</si>
  <si>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</si>
  <si>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</si>
  <si>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</si>
  <si>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</si>
  <si>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</si>
  <si>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</si>
  <si>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</si>
  <si>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</si>
  <si>
    <t>Palette:</t>
  </si>
  <si>
    <t>Car layout:</t>
  </si>
  <si>
    <t>5+5</t>
  </si>
  <si>
    <t>Side</t>
  </si>
  <si>
    <t>© 2026 Ken Paine  ·  all 72 feet reserved</t>
  </si>
  <si>
    <t>Color (pastel)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</si>
</sst>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;;;"/>
  </numFmts>
  <fonts count="54" x14ac:knownFonts="1">
    <font>
      <sz val="11"/>
      <color theme="1"/>
      <name val="Calibri"/>
      <family val="2"/>
      <charset val="1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11"/>
      <color rgb="FF33414F"/>
      <name val="Arial"/>
      <charset val="1"/>
    </font>
    <font>
      <b/>
      <sz val="9"/>
      <color rgb="FF000000"/>
      <name val="Arial"/>
      <family val="2"/>
    </font>
    <font>
      <b/>
      <sz val="9"/>
      <color rgb="FFFFFFFF"/>
      <name val="Arial"/>
      <family val="2"/>
    </font>
    <font>
      <i/>
      <sz val="8"/>
      <color rgb="FFC8C8C8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  <fill>
      <patternFill patternType="solid">
        <fgColor rgb="FFDFF0E8"/>
        <bgColor indexed="64"/>
      </patternFill>
    </fill>
  </fills>
  <borders count="32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horizontal="center" vertical="center"/>
    </xf>
    <xf numFmtId="0" fontId="6" fillId="0" borderId="0" xfId="0" applyFont="1"/>
    <xf numFmtId="0" fontId="7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/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64" fontId="0" fillId="0" borderId="0" xfId="0" applyNumberFormat="1"/>
    <xf numFmtId="0" fontId="15" fillId="0" borderId="0" xfId="0" applyFont="1"/>
    <xf numFmtId="0" fontId="17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3" fillId="0" borderId="0" xfId="0" applyFont="1"/>
    <xf numFmtId="0" fontId="6" fillId="0" borderId="15" xfId="0" applyFont="1" applyBorder="1" applyAlignment="1">
      <alignment horizontal="center" vertical="center"/>
    </xf>
    <xf numFmtId="0" fontId="32" fillId="7" borderId="16" xfId="0" applyFont="1" applyFill="1" applyBorder="1" applyAlignment="1">
      <alignment horizontal="center"/>
    </xf>
    <xf numFmtId="0" fontId="36" fillId="10" borderId="1" xfId="0" applyFont="1" applyFill="1" applyBorder="1" applyAlignment="1">
      <alignment horizontal="center" vertical="center"/>
    </xf>
    <xf numFmtId="0" fontId="37" fillId="0" borderId="0" xfId="0" applyFont="1" applyAlignment="1">
      <alignment vertical="top" wrapText="1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11" borderId="0" xfId="0" applyFont="1" applyFill="1" applyAlignment="1">
      <alignment vertical="top" wrapText="1"/>
    </xf>
    <xf numFmtId="0" fontId="37" fillId="0" borderId="0" xfId="0" applyFont="1" applyAlignment="1">
      <alignment horizontal="left" vertical="top" wrapText="1" indent="1"/>
    </xf>
    <xf numFmtId="0" fontId="41" fillId="0" borderId="0" xfId="0" applyFont="1" applyAlignment="1">
      <alignment vertical="top" wrapText="1"/>
    </xf>
    <xf numFmtId="0" fontId="42" fillId="0" borderId="0" xfId="0" applyFont="1" applyAlignment="1">
      <alignment horizontal="left" vertical="top" wrapText="1" indent="1"/>
    </xf>
    <xf numFmtId="0" fontId="43" fillId="12" borderId="1" xfId="0" applyFont="1" applyFill="1" applyBorder="1" applyAlignment="1">
      <alignment horizontal="center" vertical="center"/>
    </xf>
    <xf numFmtId="0" fontId="43" fillId="13" borderId="1" xfId="0" applyFont="1" applyFill="1" applyBorder="1" applyAlignment="1">
      <alignment horizontal="center" vertical="center"/>
    </xf>
    <xf numFmtId="0" fontId="43" fillId="14" borderId="1" xfId="0" applyFont="1" applyFill="1" applyBorder="1" applyAlignment="1">
      <alignment horizontal="center" vertical="center"/>
    </xf>
    <xf numFmtId="0" fontId="43" fillId="15" borderId="1" xfId="0" applyFont="1" applyFill="1" applyBorder="1" applyAlignment="1">
      <alignment horizontal="center" vertical="center"/>
    </xf>
    <xf numFmtId="0" fontId="43" fillId="16" borderId="1" xfId="0" applyFont="1" applyFill="1" applyBorder="1" applyAlignment="1">
      <alignment horizontal="center" vertical="center"/>
    </xf>
    <xf numFmtId="0" fontId="43" fillId="17" borderId="1" xfId="0" applyFont="1" applyFill="1" applyBorder="1" applyAlignment="1">
      <alignment horizontal="center" vertical="center"/>
    </xf>
    <xf numFmtId="0" fontId="43" fillId="18" borderId="1" xfId="0" applyFont="1" applyFill="1" applyBorder="1" applyAlignment="1">
      <alignment horizontal="center" vertical="center"/>
    </xf>
    <xf numFmtId="0" fontId="44" fillId="5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6" fillId="20" borderId="1" xfId="0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6" fillId="22" borderId="1" xfId="0" applyFont="1" applyFill="1" applyBorder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16" fillId="24" borderId="1" xfId="0" applyFont="1" applyFill="1" applyBorder="1" applyAlignment="1">
      <alignment horizontal="center" vertical="center"/>
    </xf>
    <xf numFmtId="0" fontId="16" fillId="25" borderId="1" xfId="0" applyFont="1" applyFill="1" applyBorder="1" applyAlignment="1">
      <alignment horizontal="center" vertical="center"/>
    </xf>
    <xf numFmtId="0" fontId="50" fillId="14" borderId="1" xfId="0" applyFont="1" applyFill="1" applyBorder="1" applyAlignment="1">
      <alignment horizontal="center" vertical="center"/>
    </xf>
    <xf numFmtId="0" fontId="50" fillId="18" borderId="1" xfId="0" applyFont="1" applyFill="1" applyBorder="1" applyAlignment="1">
      <alignment horizontal="center" vertical="center"/>
    </xf>
    <xf numFmtId="0" fontId="50" fillId="15" borderId="1" xfId="0" applyFont="1" applyFill="1" applyBorder="1" applyAlignment="1">
      <alignment horizontal="center" vertical="center"/>
    </xf>
    <xf numFmtId="0" fontId="50" fillId="17" borderId="1" xfId="0" applyFont="1" applyFill="1" applyBorder="1" applyAlignment="1">
      <alignment horizontal="center" vertical="center"/>
    </xf>
    <xf numFmtId="0" fontId="50" fillId="16" borderId="1" xfId="0" applyFont="1" applyFill="1" applyBorder="1" applyAlignment="1">
      <alignment horizontal="center" vertical="center"/>
    </xf>
    <xf numFmtId="0" fontId="50" fillId="12" borderId="1" xfId="0" applyFont="1" applyFill="1" applyBorder="1" applyAlignment="1">
      <alignment horizontal="center" vertical="center"/>
    </xf>
    <xf numFmtId="0" fontId="50" fillId="13" borderId="1" xfId="0" applyFont="1" applyFill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44" fillId="26" borderId="1" xfId="0" applyFont="1" applyFill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51" fillId="12" borderId="1" xfId="0" applyFont="1" applyFill="1" applyBorder="1" applyAlignment="1">
      <alignment horizontal="center" vertical="center"/>
    </xf>
    <xf numFmtId="0" fontId="51" fillId="13" borderId="1" xfId="0" applyFont="1" applyFill="1" applyBorder="1" applyAlignment="1">
      <alignment horizontal="center" vertical="center"/>
    </xf>
    <xf numFmtId="0" fontId="51" fillId="14" borderId="1" xfId="0" applyFont="1" applyFill="1" applyBorder="1" applyAlignment="1">
      <alignment horizontal="center" vertical="center"/>
    </xf>
    <xf numFmtId="0" fontId="51" fillId="15" borderId="1" xfId="0" applyFont="1" applyFill="1" applyBorder="1" applyAlignment="1">
      <alignment horizontal="center" vertical="center"/>
    </xf>
    <xf numFmtId="0" fontId="51" fillId="16" borderId="1" xfId="0" applyFont="1" applyFill="1" applyBorder="1" applyAlignment="1">
      <alignment horizontal="center" vertical="center"/>
    </xf>
    <xf numFmtId="0" fontId="51" fillId="17" borderId="1" xfId="0" applyFont="1" applyFill="1" applyBorder="1" applyAlignment="1">
      <alignment horizontal="center" vertical="center"/>
    </xf>
    <xf numFmtId="0" fontId="51" fillId="18" borderId="1" xfId="0" applyFont="1" applyFill="1" applyBorder="1" applyAlignment="1">
      <alignment horizontal="center" vertical="center"/>
    </xf>
    <xf numFmtId="0" fontId="32" fillId="27" borderId="0" xfId="0" applyFont="1" applyFill="1"/>
    <xf numFmtId="0" fontId="52" fillId="4" borderId="1" xfId="0" applyFont="1" applyFill="1" applyBorder="1" applyAlignment="1">
      <alignment horizontal="center" vertical="center"/>
    </xf>
    <xf numFmtId="0" fontId="53" fillId="0" borderId="0" xfId="0" applyFont="1" applyAlignment="1">
      <alignment horizontal="right"/>
    </xf>
    <xf numFmtId="165" fontId="0" fillId="0" borderId="0" xfId="0" applyNumberFormat="1"/>
    <xf numFmtId="0" fontId="3" fillId="2" borderId="0" xfId="0" applyFont="1" applyFill="1"/>
    <xf numFmtId="0" fontId="2" fillId="0" borderId="0" xfId="0" applyFont="1"/>
    <xf numFmtId="0" fontId="10" fillId="0" borderId="0" xfId="0" applyFont="1"/>
    <xf numFmtId="0" fontId="10" fillId="0" borderId="1" xfId="0" applyFont="1" applyBorder="1" applyAlignment="1">
      <alignment horizontal="center" vertical="center"/>
    </xf>
    <xf numFmtId="0" fontId="4" fillId="0" borderId="0" xfId="0" applyFont="1"/>
    <xf numFmtId="0" fontId="4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4" fillId="8" borderId="18" xfId="0" applyFont="1" applyFill="1" applyBorder="1" applyAlignment="1">
      <alignment horizontal="center"/>
    </xf>
    <xf numFmtId="0" fontId="34" fillId="8" borderId="19" xfId="0" applyFont="1" applyFill="1" applyBorder="1" applyAlignment="1">
      <alignment horizontal="center"/>
    </xf>
    <xf numFmtId="0" fontId="34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2" fillId="9" borderId="0" xfId="0" applyFont="1" applyFill="1" applyAlignment="1">
      <alignment horizontal="center"/>
    </xf>
    <xf numFmtId="0" fontId="32" fillId="9" borderId="23" xfId="0" applyFont="1" applyFill="1" applyBorder="1" applyAlignment="1">
      <alignment horizontal="center"/>
    </xf>
    <xf numFmtId="0" fontId="35" fillId="0" borderId="20" xfId="0" applyFont="1" applyBorder="1"/>
    <xf numFmtId="0" fontId="35" fillId="0" borderId="21" xfId="0" applyFont="1" applyBorder="1"/>
    <xf numFmtId="0" fontId="35" fillId="0" borderId="24" xfId="0" applyFont="1" applyBorder="1"/>
    <xf numFmtId="0" fontId="1" fillId="0" borderId="0" xfId="0" applyFont="1"/>
    <xf numFmtId="0" fontId="29" fillId="0" borderId="0" xfId="0" applyFont="1"/>
    <xf numFmtId="0" fontId="31" fillId="6" borderId="0" xfId="0" applyFont="1" applyFill="1"/>
    <xf numFmtId="0" fontId="30" fillId="0" borderId="0" xfId="0" applyFont="1"/>
  </cellXfs>
  <cellStyles count="1">
    <cellStyle name="Normal" xfId="0" builtinId="0"/>
  </cellStyles>
  <dxfs count="29">
    <dxf>
      <fill>
        <patternFill>
          <bgColor rgb="FFBDD7EE"/>
        </patternFill>
      </fill>
    </dxf>
    <dxf>
      <fill>
        <patternFill>
          <bgColor rgb="FFFFE599"/>
        </patternFill>
      </fill>
    </dxf>
    <dxf>
      <fill>
        <patternFill>
          <bgColor rgb="FFC6EFCE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12</xdr:row>
      <xdr:rowOff>0</xdr:rowOff>
    </xdr:from>
    <xdr:to>
      <xdr:col>13</xdr:col>
      <xdr:colOff>497840</xdr:colOff>
      <xdr:row>13</xdr:row>
      <xdr:rowOff>96520</xdr:rowOff>
    </xdr:to>
    <xdr:sp macro="RedrawManifestButton" textlink="">
      <xdr:nvSpPr>
        <xdr:cNvPr id="4" name="btn_redraw">
          <a:extLst>
            <a:ext uri="{FF2B5EF4-FFF2-40B4-BE49-F238E27FC236}">
              <a16:creationId xmlns:a16="http://schemas.microsoft.com/office/drawing/2014/main" id="{3468F386-7430-2F7B-EA92-FFA158D12EEB}"/>
            </a:ext>
          </a:extLst>
        </xdr:cNvPr>
        <xdr:cNvSpPr/>
      </xdr:nvSpPr>
      <xdr:spPr>
        <a:xfrm>
          <a:off x="8991600" y="225552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11</xdr:col>
      <xdr:colOff>713740</xdr:colOff>
      <xdr:row>13</xdr:row>
      <xdr:rowOff>177800</xdr:rowOff>
    </xdr:to>
    <xdr:sp macro="" textlink="">
      <xdr:nvSpPr>
        <xdr:cNvPr id="1819" name="diag_189">
          <a:extLst>
            <a:ext uri="{FF2B5EF4-FFF2-40B4-BE49-F238E27FC236}">
              <a16:creationId xmlns:a16="http://schemas.microsoft.com/office/drawing/2014/main" id="{7FD286C1-9673-558F-B23F-40524FFAA2E4}"/>
            </a:ext>
          </a:extLst>
        </xdr:cNvPr>
        <xdr:cNvSpPr txBox="1"/>
      </xdr:nvSpPr>
      <xdr:spPr>
        <a:xfrm>
          <a:off x="0" y="243840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5 rows  (tiers 1-5)</a:t>
          </a:r>
        </a:p>
      </xdr:txBody>
    </xdr:sp>
    <xdr:clientData/>
  </xdr:twoCellAnchor>
  <xdr:twoCellAnchor>
    <xdr:from>
      <xdr:col>0</xdr:col>
      <xdr:colOff>190500</xdr:colOff>
      <xdr:row>13</xdr:row>
      <xdr:rowOff>177800</xdr:rowOff>
    </xdr:from>
    <xdr:to>
      <xdr:col>0</xdr:col>
      <xdr:colOff>520700</xdr:colOff>
      <xdr:row>14</xdr:row>
      <xdr:rowOff>81280</xdr:rowOff>
    </xdr:to>
    <xdr:sp macro="" textlink="">
      <xdr:nvSpPr>
        <xdr:cNvPr id="1820" name="diag_190">
          <a:extLst>
            <a:ext uri="{FF2B5EF4-FFF2-40B4-BE49-F238E27FC236}">
              <a16:creationId xmlns:a16="http://schemas.microsoft.com/office/drawing/2014/main" id="{105B7319-1DDD-DE28-5C79-A0D98D5AE744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13</xdr:row>
      <xdr:rowOff>177800</xdr:rowOff>
    </xdr:from>
    <xdr:to>
      <xdr:col>2</xdr:col>
      <xdr:colOff>546100</xdr:colOff>
      <xdr:row>14</xdr:row>
      <xdr:rowOff>81280</xdr:rowOff>
    </xdr:to>
    <xdr:sp macro="" textlink="">
      <xdr:nvSpPr>
        <xdr:cNvPr id="1821" name="diag_191">
          <a:extLst>
            <a:ext uri="{FF2B5EF4-FFF2-40B4-BE49-F238E27FC236}">
              <a16:creationId xmlns:a16="http://schemas.microsoft.com/office/drawing/2014/main" id="{A1A96D4C-486D-EC5D-4A9B-75E72F9090F7}"/>
            </a:ext>
          </a:extLst>
        </xdr:cNvPr>
        <xdr:cNvSpPr txBox="1"/>
      </xdr:nvSpPr>
      <xdr:spPr>
        <a:xfrm>
          <a:off x="1587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13</xdr:row>
      <xdr:rowOff>177800</xdr:rowOff>
    </xdr:from>
    <xdr:to>
      <xdr:col>4</xdr:col>
      <xdr:colOff>434340</xdr:colOff>
      <xdr:row>14</xdr:row>
      <xdr:rowOff>81280</xdr:rowOff>
    </xdr:to>
    <xdr:sp macro="" textlink="">
      <xdr:nvSpPr>
        <xdr:cNvPr id="1822" name="diag_192">
          <a:extLst>
            <a:ext uri="{FF2B5EF4-FFF2-40B4-BE49-F238E27FC236}">
              <a16:creationId xmlns:a16="http://schemas.microsoft.com/office/drawing/2014/main" id="{06DA40DE-DB11-2C92-37E0-FE6EE8A7E600}"/>
            </a:ext>
          </a:extLst>
        </xdr:cNvPr>
        <xdr:cNvSpPr txBox="1"/>
      </xdr:nvSpPr>
      <xdr:spPr>
        <a:xfrm>
          <a:off x="298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13</xdr:row>
      <xdr:rowOff>177800</xdr:rowOff>
    </xdr:from>
    <xdr:to>
      <xdr:col>6</xdr:col>
      <xdr:colOff>185420</xdr:colOff>
      <xdr:row>14</xdr:row>
      <xdr:rowOff>81280</xdr:rowOff>
    </xdr:to>
    <xdr:sp macro="" textlink="">
      <xdr:nvSpPr>
        <xdr:cNvPr id="1823" name="diag_193">
          <a:extLst>
            <a:ext uri="{FF2B5EF4-FFF2-40B4-BE49-F238E27FC236}">
              <a16:creationId xmlns:a16="http://schemas.microsoft.com/office/drawing/2014/main" id="{F5F8374F-0725-269D-1693-41BB9D08AD27}"/>
            </a:ext>
          </a:extLst>
        </xdr:cNvPr>
        <xdr:cNvSpPr txBox="1"/>
      </xdr:nvSpPr>
      <xdr:spPr>
        <a:xfrm>
          <a:off x="4381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13</xdr:row>
      <xdr:rowOff>177800</xdr:rowOff>
    </xdr:from>
    <xdr:to>
      <xdr:col>8</xdr:col>
      <xdr:colOff>73660</xdr:colOff>
      <xdr:row>14</xdr:row>
      <xdr:rowOff>81280</xdr:rowOff>
    </xdr:to>
    <xdr:sp macro="" textlink="">
      <xdr:nvSpPr>
        <xdr:cNvPr id="1824" name="diag_194">
          <a:extLst>
            <a:ext uri="{FF2B5EF4-FFF2-40B4-BE49-F238E27FC236}">
              <a16:creationId xmlns:a16="http://schemas.microsoft.com/office/drawing/2014/main" id="{F56AF902-F97D-4612-CF35-60C0F03172E0}"/>
            </a:ext>
          </a:extLst>
        </xdr:cNvPr>
        <xdr:cNvSpPr txBox="1"/>
      </xdr:nvSpPr>
      <xdr:spPr>
        <a:xfrm>
          <a:off x="5778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13</xdr:row>
      <xdr:rowOff>177800</xdr:rowOff>
    </xdr:from>
    <xdr:to>
      <xdr:col>9</xdr:col>
      <xdr:colOff>716280</xdr:colOff>
      <xdr:row>14</xdr:row>
      <xdr:rowOff>81280</xdr:rowOff>
    </xdr:to>
    <xdr:sp macro="" textlink="">
      <xdr:nvSpPr>
        <xdr:cNvPr id="1825" name="diag_195">
          <a:extLst>
            <a:ext uri="{FF2B5EF4-FFF2-40B4-BE49-F238E27FC236}">
              <a16:creationId xmlns:a16="http://schemas.microsoft.com/office/drawing/2014/main" id="{30A3CA24-1D99-5F29-221B-E21440C3D42C}"/>
            </a:ext>
          </a:extLst>
        </xdr:cNvPr>
        <xdr:cNvSpPr txBox="1"/>
      </xdr:nvSpPr>
      <xdr:spPr>
        <a:xfrm>
          <a:off x="7175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13</xdr:row>
      <xdr:rowOff>177800</xdr:rowOff>
    </xdr:from>
    <xdr:to>
      <xdr:col>11</xdr:col>
      <xdr:colOff>878840</xdr:colOff>
      <xdr:row>14</xdr:row>
      <xdr:rowOff>81280</xdr:rowOff>
    </xdr:to>
    <xdr:sp macro="" textlink="">
      <xdr:nvSpPr>
        <xdr:cNvPr id="1826" name="diag_196">
          <a:extLst>
            <a:ext uri="{FF2B5EF4-FFF2-40B4-BE49-F238E27FC236}">
              <a16:creationId xmlns:a16="http://schemas.microsoft.com/office/drawing/2014/main" id="{40B7CA4F-F4FC-9945-8702-93D33831F4F1}"/>
            </a:ext>
          </a:extLst>
        </xdr:cNvPr>
        <xdr:cNvSpPr txBox="1"/>
      </xdr:nvSpPr>
      <xdr:spPr>
        <a:xfrm>
          <a:off x="857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81280</xdr:rowOff>
    </xdr:from>
    <xdr:to>
      <xdr:col>0</xdr:col>
      <xdr:colOff>355600</xdr:colOff>
      <xdr:row>15</xdr:row>
      <xdr:rowOff>123952</xdr:rowOff>
    </xdr:to>
    <xdr:sp macro="" textlink="">
      <xdr:nvSpPr>
        <xdr:cNvPr id="1827" name="diag_197">
          <a:extLst>
            <a:ext uri="{FF2B5EF4-FFF2-40B4-BE49-F238E27FC236}">
              <a16:creationId xmlns:a16="http://schemas.microsoft.com/office/drawing/2014/main" id="{7BFF9F6D-FD1A-6E44-EDCE-C90C62BD5A8F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1828" name="diag_198">
          <a:extLst>
            <a:ext uri="{FF2B5EF4-FFF2-40B4-BE49-F238E27FC236}">
              <a16:creationId xmlns:a16="http://schemas.microsoft.com/office/drawing/2014/main" id="{A5045422-2110-C03D-4C4D-C21FFE072F18}"/>
            </a:ext>
          </a:extLst>
        </xdr:cNvPr>
        <xdr:cNvSpPr/>
      </xdr:nvSpPr>
      <xdr:spPr>
        <a:xfrm>
          <a:off x="355600" y="275590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3</xdr:col>
      <xdr:colOff>92287</xdr:colOff>
      <xdr:row>15</xdr:row>
      <xdr:rowOff>123952</xdr:rowOff>
    </xdr:to>
    <xdr:sp macro="" textlink="">
      <xdr:nvSpPr>
        <xdr:cNvPr id="1829" name="diag_199">
          <a:extLst>
            <a:ext uri="{FF2B5EF4-FFF2-40B4-BE49-F238E27FC236}">
              <a16:creationId xmlns:a16="http://schemas.microsoft.com/office/drawing/2014/main" id="{3AC7CAE3-3463-C5BB-4D7F-190EDAD9EA94}"/>
            </a:ext>
          </a:extLst>
        </xdr:cNvPr>
        <xdr:cNvSpPr/>
      </xdr:nvSpPr>
      <xdr:spPr>
        <a:xfrm>
          <a:off x="355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14</xdr:row>
      <xdr:rowOff>81280</xdr:rowOff>
    </xdr:from>
    <xdr:to>
      <xdr:col>5</xdr:col>
      <xdr:colOff>309033</xdr:colOff>
      <xdr:row>15</xdr:row>
      <xdr:rowOff>123952</xdr:rowOff>
    </xdr:to>
    <xdr:sp macro="" textlink="">
      <xdr:nvSpPr>
        <xdr:cNvPr id="1830" name="diag_200">
          <a:extLst>
            <a:ext uri="{FF2B5EF4-FFF2-40B4-BE49-F238E27FC236}">
              <a16:creationId xmlns:a16="http://schemas.microsoft.com/office/drawing/2014/main" id="{5DF1382F-900C-EA4C-DEF5-B23B04BC0562}"/>
            </a:ext>
          </a:extLst>
        </xdr:cNvPr>
        <xdr:cNvSpPr/>
      </xdr:nvSpPr>
      <xdr:spPr>
        <a:xfrm>
          <a:off x="2218267" y="2755900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14</xdr:row>
      <xdr:rowOff>81280</xdr:rowOff>
    </xdr:from>
    <xdr:to>
      <xdr:col>7</xdr:col>
      <xdr:colOff>662940</xdr:colOff>
      <xdr:row>15</xdr:row>
      <xdr:rowOff>123952</xdr:rowOff>
    </xdr:to>
    <xdr:sp macro="" textlink="">
      <xdr:nvSpPr>
        <xdr:cNvPr id="1831" name="diag_201">
          <a:extLst>
            <a:ext uri="{FF2B5EF4-FFF2-40B4-BE49-F238E27FC236}">
              <a16:creationId xmlns:a16="http://schemas.microsoft.com/office/drawing/2014/main" id="{6AE3DA71-24B9-110C-1162-26A63F105670}"/>
            </a:ext>
          </a:extLst>
        </xdr:cNvPr>
        <xdr:cNvSpPr/>
      </xdr:nvSpPr>
      <xdr:spPr>
        <a:xfrm>
          <a:off x="4080933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14</xdr:row>
      <xdr:rowOff>81280</xdr:rowOff>
    </xdr:from>
    <xdr:to>
      <xdr:col>10</xdr:col>
      <xdr:colOff>262467</xdr:colOff>
      <xdr:row>15</xdr:row>
      <xdr:rowOff>123952</xdr:rowOff>
    </xdr:to>
    <xdr:sp macro="" textlink="">
      <xdr:nvSpPr>
        <xdr:cNvPr id="1832" name="diag_202">
          <a:extLst>
            <a:ext uri="{FF2B5EF4-FFF2-40B4-BE49-F238E27FC236}">
              <a16:creationId xmlns:a16="http://schemas.microsoft.com/office/drawing/2014/main" id="{A0F2FC01-F6A4-F3F3-57C0-6941A5C94AF0}"/>
            </a:ext>
          </a:extLst>
        </xdr:cNvPr>
        <xdr:cNvSpPr/>
      </xdr:nvSpPr>
      <xdr:spPr>
        <a:xfrm>
          <a:off x="5943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1833" name="diag_203">
          <a:extLst>
            <a:ext uri="{FF2B5EF4-FFF2-40B4-BE49-F238E27FC236}">
              <a16:creationId xmlns:a16="http://schemas.microsoft.com/office/drawing/2014/main" id="{E5AD48AF-1EAA-DD52-756B-76ED7A32D8CD}"/>
            </a:ext>
          </a:extLst>
        </xdr:cNvPr>
        <xdr:cNvSpPr/>
      </xdr:nvSpPr>
      <xdr:spPr>
        <a:xfrm>
          <a:off x="7806267" y="275590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149352</xdr:rowOff>
    </xdr:from>
    <xdr:to>
      <xdr:col>0</xdr:col>
      <xdr:colOff>355600</xdr:colOff>
      <xdr:row>16</xdr:row>
      <xdr:rowOff>192024</xdr:rowOff>
    </xdr:to>
    <xdr:sp macro="" textlink="">
      <xdr:nvSpPr>
        <xdr:cNvPr id="1834" name="diag_204">
          <a:extLst>
            <a:ext uri="{FF2B5EF4-FFF2-40B4-BE49-F238E27FC236}">
              <a16:creationId xmlns:a16="http://schemas.microsoft.com/office/drawing/2014/main" id="{77DAA4BE-A64C-39B3-7319-A8C46E7ABFE4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1835" name="diag_205">
          <a:extLst>
            <a:ext uri="{FF2B5EF4-FFF2-40B4-BE49-F238E27FC236}">
              <a16:creationId xmlns:a16="http://schemas.microsoft.com/office/drawing/2014/main" id="{0D66C929-B42F-AF2D-AA94-06B4DC1C6853}"/>
            </a:ext>
          </a:extLst>
        </xdr:cNvPr>
        <xdr:cNvSpPr/>
      </xdr:nvSpPr>
      <xdr:spPr>
        <a:xfrm>
          <a:off x="355600" y="306019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3</xdr:col>
      <xdr:colOff>92287</xdr:colOff>
      <xdr:row>16</xdr:row>
      <xdr:rowOff>192024</xdr:rowOff>
    </xdr:to>
    <xdr:sp macro="" textlink="">
      <xdr:nvSpPr>
        <xdr:cNvPr id="1836" name="diag_206">
          <a:extLst>
            <a:ext uri="{FF2B5EF4-FFF2-40B4-BE49-F238E27FC236}">
              <a16:creationId xmlns:a16="http://schemas.microsoft.com/office/drawing/2014/main" id="{4A449A94-F5B5-53A5-7EDC-E8A8C220D17C}"/>
            </a:ext>
          </a:extLst>
        </xdr:cNvPr>
        <xdr:cNvSpPr/>
      </xdr:nvSpPr>
      <xdr:spPr>
        <a:xfrm>
          <a:off x="355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15</xdr:row>
      <xdr:rowOff>149352</xdr:rowOff>
    </xdr:from>
    <xdr:to>
      <xdr:col>5</xdr:col>
      <xdr:colOff>309033</xdr:colOff>
      <xdr:row>16</xdr:row>
      <xdr:rowOff>192024</xdr:rowOff>
    </xdr:to>
    <xdr:sp macro="" textlink="">
      <xdr:nvSpPr>
        <xdr:cNvPr id="1837" name="diag_207">
          <a:extLst>
            <a:ext uri="{FF2B5EF4-FFF2-40B4-BE49-F238E27FC236}">
              <a16:creationId xmlns:a16="http://schemas.microsoft.com/office/drawing/2014/main" id="{A3479056-8670-80A6-60FF-655308D4F874}"/>
            </a:ext>
          </a:extLst>
        </xdr:cNvPr>
        <xdr:cNvSpPr/>
      </xdr:nvSpPr>
      <xdr:spPr>
        <a:xfrm>
          <a:off x="2218267" y="3060192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15</xdr:row>
      <xdr:rowOff>149352</xdr:rowOff>
    </xdr:from>
    <xdr:to>
      <xdr:col>7</xdr:col>
      <xdr:colOff>662940</xdr:colOff>
      <xdr:row>16</xdr:row>
      <xdr:rowOff>192024</xdr:rowOff>
    </xdr:to>
    <xdr:sp macro="" textlink="">
      <xdr:nvSpPr>
        <xdr:cNvPr id="1838" name="diag_208">
          <a:extLst>
            <a:ext uri="{FF2B5EF4-FFF2-40B4-BE49-F238E27FC236}">
              <a16:creationId xmlns:a16="http://schemas.microsoft.com/office/drawing/2014/main" id="{B0D0C7BD-1BBC-FC4D-7264-BD7EE0D3C9DD}"/>
            </a:ext>
          </a:extLst>
        </xdr:cNvPr>
        <xdr:cNvSpPr/>
      </xdr:nvSpPr>
      <xdr:spPr>
        <a:xfrm>
          <a:off x="4080933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15</xdr:row>
      <xdr:rowOff>149352</xdr:rowOff>
    </xdr:from>
    <xdr:to>
      <xdr:col>10</xdr:col>
      <xdr:colOff>262467</xdr:colOff>
      <xdr:row>16</xdr:row>
      <xdr:rowOff>192024</xdr:rowOff>
    </xdr:to>
    <xdr:sp macro="" textlink="">
      <xdr:nvSpPr>
        <xdr:cNvPr id="1839" name="diag_209">
          <a:extLst>
            <a:ext uri="{FF2B5EF4-FFF2-40B4-BE49-F238E27FC236}">
              <a16:creationId xmlns:a16="http://schemas.microsoft.com/office/drawing/2014/main" id="{358C115D-B26A-439E-05E4-9BA17E023083}"/>
            </a:ext>
          </a:extLst>
        </xdr:cNvPr>
        <xdr:cNvSpPr/>
      </xdr:nvSpPr>
      <xdr:spPr>
        <a:xfrm>
          <a:off x="5943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1840" name="diag_210">
          <a:extLst>
            <a:ext uri="{FF2B5EF4-FFF2-40B4-BE49-F238E27FC236}">
              <a16:creationId xmlns:a16="http://schemas.microsoft.com/office/drawing/2014/main" id="{584AD58D-5F66-2B75-C31C-BC2E22A56375}"/>
            </a:ext>
          </a:extLst>
        </xdr:cNvPr>
        <xdr:cNvSpPr/>
      </xdr:nvSpPr>
      <xdr:spPr>
        <a:xfrm>
          <a:off x="7806267" y="3060192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217424</xdr:rowOff>
    </xdr:from>
    <xdr:to>
      <xdr:col>0</xdr:col>
      <xdr:colOff>355600</xdr:colOff>
      <xdr:row>18</xdr:row>
      <xdr:rowOff>23876</xdr:rowOff>
    </xdr:to>
    <xdr:sp macro="" textlink="">
      <xdr:nvSpPr>
        <xdr:cNvPr id="1841" name="diag_211">
          <a:extLst>
            <a:ext uri="{FF2B5EF4-FFF2-40B4-BE49-F238E27FC236}">
              <a16:creationId xmlns:a16="http://schemas.microsoft.com/office/drawing/2014/main" id="{1F874EC9-B618-E742-4432-FE89015987FD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1842" name="diag_212">
          <a:extLst>
            <a:ext uri="{FF2B5EF4-FFF2-40B4-BE49-F238E27FC236}">
              <a16:creationId xmlns:a16="http://schemas.microsoft.com/office/drawing/2014/main" id="{242AE518-FD66-8B16-7FC3-34CF4B8D51F4}"/>
            </a:ext>
          </a:extLst>
        </xdr:cNvPr>
        <xdr:cNvSpPr/>
      </xdr:nvSpPr>
      <xdr:spPr>
        <a:xfrm>
          <a:off x="355600" y="336448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3</xdr:col>
      <xdr:colOff>92287</xdr:colOff>
      <xdr:row>18</xdr:row>
      <xdr:rowOff>23876</xdr:rowOff>
    </xdr:to>
    <xdr:sp macro="" textlink="">
      <xdr:nvSpPr>
        <xdr:cNvPr id="1843" name="diag_213">
          <a:extLst>
            <a:ext uri="{FF2B5EF4-FFF2-40B4-BE49-F238E27FC236}">
              <a16:creationId xmlns:a16="http://schemas.microsoft.com/office/drawing/2014/main" id="{B6201284-2832-4531-CC62-D3EC0D185E9A}"/>
            </a:ext>
          </a:extLst>
        </xdr:cNvPr>
        <xdr:cNvSpPr/>
      </xdr:nvSpPr>
      <xdr:spPr>
        <a:xfrm>
          <a:off x="355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16</xdr:row>
      <xdr:rowOff>217424</xdr:rowOff>
    </xdr:from>
    <xdr:to>
      <xdr:col>5</xdr:col>
      <xdr:colOff>309033</xdr:colOff>
      <xdr:row>18</xdr:row>
      <xdr:rowOff>23876</xdr:rowOff>
    </xdr:to>
    <xdr:sp macro="" textlink="">
      <xdr:nvSpPr>
        <xdr:cNvPr id="1844" name="diag_214">
          <a:extLst>
            <a:ext uri="{FF2B5EF4-FFF2-40B4-BE49-F238E27FC236}">
              <a16:creationId xmlns:a16="http://schemas.microsoft.com/office/drawing/2014/main" id="{D0AD7E41-13F2-70F4-E7BA-C9E54D56F25F}"/>
            </a:ext>
          </a:extLst>
        </xdr:cNvPr>
        <xdr:cNvSpPr/>
      </xdr:nvSpPr>
      <xdr:spPr>
        <a:xfrm>
          <a:off x="2218267" y="3364484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16</xdr:row>
      <xdr:rowOff>217424</xdr:rowOff>
    </xdr:from>
    <xdr:to>
      <xdr:col>7</xdr:col>
      <xdr:colOff>662940</xdr:colOff>
      <xdr:row>18</xdr:row>
      <xdr:rowOff>23876</xdr:rowOff>
    </xdr:to>
    <xdr:sp macro="" textlink="">
      <xdr:nvSpPr>
        <xdr:cNvPr id="1845" name="diag_215">
          <a:extLst>
            <a:ext uri="{FF2B5EF4-FFF2-40B4-BE49-F238E27FC236}">
              <a16:creationId xmlns:a16="http://schemas.microsoft.com/office/drawing/2014/main" id="{804EEEF0-15DC-4CC8-57B7-5AAAE3AFA69B}"/>
            </a:ext>
          </a:extLst>
        </xdr:cNvPr>
        <xdr:cNvSpPr/>
      </xdr:nvSpPr>
      <xdr:spPr>
        <a:xfrm>
          <a:off x="4080933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16</xdr:row>
      <xdr:rowOff>217424</xdr:rowOff>
    </xdr:from>
    <xdr:to>
      <xdr:col>10</xdr:col>
      <xdr:colOff>262467</xdr:colOff>
      <xdr:row>18</xdr:row>
      <xdr:rowOff>23876</xdr:rowOff>
    </xdr:to>
    <xdr:sp macro="" textlink="">
      <xdr:nvSpPr>
        <xdr:cNvPr id="1846" name="diag_216">
          <a:extLst>
            <a:ext uri="{FF2B5EF4-FFF2-40B4-BE49-F238E27FC236}">
              <a16:creationId xmlns:a16="http://schemas.microsoft.com/office/drawing/2014/main" id="{6D9404E9-F974-4C9D-75EE-D2E2DBCE9581}"/>
            </a:ext>
          </a:extLst>
        </xdr:cNvPr>
        <xdr:cNvSpPr/>
      </xdr:nvSpPr>
      <xdr:spPr>
        <a:xfrm>
          <a:off x="5943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1847" name="diag_217">
          <a:extLst>
            <a:ext uri="{FF2B5EF4-FFF2-40B4-BE49-F238E27FC236}">
              <a16:creationId xmlns:a16="http://schemas.microsoft.com/office/drawing/2014/main" id="{F043434B-24B1-CD25-3C6F-B2B7C5E78D74}"/>
            </a:ext>
          </a:extLst>
        </xdr:cNvPr>
        <xdr:cNvSpPr/>
      </xdr:nvSpPr>
      <xdr:spPr>
        <a:xfrm>
          <a:off x="7806267" y="3364484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49276</xdr:rowOff>
    </xdr:from>
    <xdr:to>
      <xdr:col>0</xdr:col>
      <xdr:colOff>355600</xdr:colOff>
      <xdr:row>19</xdr:row>
      <xdr:rowOff>91948</xdr:rowOff>
    </xdr:to>
    <xdr:sp macro="" textlink="">
      <xdr:nvSpPr>
        <xdr:cNvPr id="1848" name="diag_218">
          <a:extLst>
            <a:ext uri="{FF2B5EF4-FFF2-40B4-BE49-F238E27FC236}">
              <a16:creationId xmlns:a16="http://schemas.microsoft.com/office/drawing/2014/main" id="{1E800B24-B569-54AE-088A-C9E59A81E25D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1849" name="diag_219">
          <a:extLst>
            <a:ext uri="{FF2B5EF4-FFF2-40B4-BE49-F238E27FC236}">
              <a16:creationId xmlns:a16="http://schemas.microsoft.com/office/drawing/2014/main" id="{A56699D9-0F4A-A414-023F-AB7F8CBE4EE6}"/>
            </a:ext>
          </a:extLst>
        </xdr:cNvPr>
        <xdr:cNvSpPr/>
      </xdr:nvSpPr>
      <xdr:spPr>
        <a:xfrm>
          <a:off x="355600" y="366877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3</xdr:col>
      <xdr:colOff>92287</xdr:colOff>
      <xdr:row>19</xdr:row>
      <xdr:rowOff>91948</xdr:rowOff>
    </xdr:to>
    <xdr:sp macro="" textlink="">
      <xdr:nvSpPr>
        <xdr:cNvPr id="1850" name="diag_220">
          <a:extLst>
            <a:ext uri="{FF2B5EF4-FFF2-40B4-BE49-F238E27FC236}">
              <a16:creationId xmlns:a16="http://schemas.microsoft.com/office/drawing/2014/main" id="{DC22870D-BA07-AFD1-920E-91B1358C4F40}"/>
            </a:ext>
          </a:extLst>
        </xdr:cNvPr>
        <xdr:cNvSpPr/>
      </xdr:nvSpPr>
      <xdr:spPr>
        <a:xfrm>
          <a:off x="355600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18</xdr:row>
      <xdr:rowOff>49276</xdr:rowOff>
    </xdr:from>
    <xdr:to>
      <xdr:col>5</xdr:col>
      <xdr:colOff>309033</xdr:colOff>
      <xdr:row>19</xdr:row>
      <xdr:rowOff>91948</xdr:rowOff>
    </xdr:to>
    <xdr:sp macro="" textlink="">
      <xdr:nvSpPr>
        <xdr:cNvPr id="1851" name="diag_221">
          <a:extLst>
            <a:ext uri="{FF2B5EF4-FFF2-40B4-BE49-F238E27FC236}">
              <a16:creationId xmlns:a16="http://schemas.microsoft.com/office/drawing/2014/main" id="{9F117F3A-94D9-AE38-2330-B9BD6B45CF3C}"/>
            </a:ext>
          </a:extLst>
        </xdr:cNvPr>
        <xdr:cNvSpPr/>
      </xdr:nvSpPr>
      <xdr:spPr>
        <a:xfrm>
          <a:off x="2218267" y="3668776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18</xdr:row>
      <xdr:rowOff>49276</xdr:rowOff>
    </xdr:from>
    <xdr:to>
      <xdr:col>7</xdr:col>
      <xdr:colOff>662940</xdr:colOff>
      <xdr:row>19</xdr:row>
      <xdr:rowOff>91948</xdr:rowOff>
    </xdr:to>
    <xdr:sp macro="" textlink="">
      <xdr:nvSpPr>
        <xdr:cNvPr id="1852" name="diag_222">
          <a:extLst>
            <a:ext uri="{FF2B5EF4-FFF2-40B4-BE49-F238E27FC236}">
              <a16:creationId xmlns:a16="http://schemas.microsoft.com/office/drawing/2014/main" id="{DD94A31A-8483-F7B3-6AEC-A0EB0B8675FD}"/>
            </a:ext>
          </a:extLst>
        </xdr:cNvPr>
        <xdr:cNvSpPr/>
      </xdr:nvSpPr>
      <xdr:spPr>
        <a:xfrm>
          <a:off x="4080933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18</xdr:row>
      <xdr:rowOff>49276</xdr:rowOff>
    </xdr:from>
    <xdr:to>
      <xdr:col>9</xdr:col>
      <xdr:colOff>551180</xdr:colOff>
      <xdr:row>19</xdr:row>
      <xdr:rowOff>91948</xdr:rowOff>
    </xdr:to>
    <xdr:sp macro="" textlink="">
      <xdr:nvSpPr>
        <xdr:cNvPr id="1853" name="diag_223">
          <a:extLst>
            <a:ext uri="{FF2B5EF4-FFF2-40B4-BE49-F238E27FC236}">
              <a16:creationId xmlns:a16="http://schemas.microsoft.com/office/drawing/2014/main" id="{548F5B8B-A31A-C7F2-B893-F1D19035D0C3}"/>
            </a:ext>
          </a:extLst>
        </xdr:cNvPr>
        <xdr:cNvSpPr/>
      </xdr:nvSpPr>
      <xdr:spPr>
        <a:xfrm>
          <a:off x="5943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1854" name="diag_224">
          <a:extLst>
            <a:ext uri="{FF2B5EF4-FFF2-40B4-BE49-F238E27FC236}">
              <a16:creationId xmlns:a16="http://schemas.microsoft.com/office/drawing/2014/main" id="{FDA3D1AF-52BA-B7BF-4836-D76D3DA93DE9}"/>
            </a:ext>
          </a:extLst>
        </xdr:cNvPr>
        <xdr:cNvSpPr/>
      </xdr:nvSpPr>
      <xdr:spPr>
        <a:xfrm>
          <a:off x="7340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117348</xdr:rowOff>
    </xdr:from>
    <xdr:to>
      <xdr:col>0</xdr:col>
      <xdr:colOff>355600</xdr:colOff>
      <xdr:row>20</xdr:row>
      <xdr:rowOff>160020</xdr:rowOff>
    </xdr:to>
    <xdr:sp macro="" textlink="">
      <xdr:nvSpPr>
        <xdr:cNvPr id="1855" name="diag_225">
          <a:extLst>
            <a:ext uri="{FF2B5EF4-FFF2-40B4-BE49-F238E27FC236}">
              <a16:creationId xmlns:a16="http://schemas.microsoft.com/office/drawing/2014/main" id="{6B2D32CE-59EA-FCE0-A385-1003280535BD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1856" name="diag_226">
          <a:extLst>
            <a:ext uri="{FF2B5EF4-FFF2-40B4-BE49-F238E27FC236}">
              <a16:creationId xmlns:a16="http://schemas.microsoft.com/office/drawing/2014/main" id="{CCEB3027-AEB8-98B9-9FDD-C5BF4E357B18}"/>
            </a:ext>
          </a:extLst>
        </xdr:cNvPr>
        <xdr:cNvSpPr/>
      </xdr:nvSpPr>
      <xdr:spPr>
        <a:xfrm>
          <a:off x="355600" y="397306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2</xdr:col>
      <xdr:colOff>613833</xdr:colOff>
      <xdr:row>20</xdr:row>
      <xdr:rowOff>160020</xdr:rowOff>
    </xdr:to>
    <xdr:sp macro="" textlink="">
      <xdr:nvSpPr>
        <xdr:cNvPr id="1857" name="diag_227">
          <a:extLst>
            <a:ext uri="{FF2B5EF4-FFF2-40B4-BE49-F238E27FC236}">
              <a16:creationId xmlns:a16="http://schemas.microsoft.com/office/drawing/2014/main" id="{CE4A609B-9F49-7F78-EE0F-36B6DD89655F}"/>
            </a:ext>
          </a:extLst>
        </xdr:cNvPr>
        <xdr:cNvSpPr/>
      </xdr:nvSpPr>
      <xdr:spPr>
        <a:xfrm>
          <a:off x="3556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19</xdr:row>
      <xdr:rowOff>117348</xdr:rowOff>
    </xdr:from>
    <xdr:to>
      <xdr:col>4</xdr:col>
      <xdr:colOff>734907</xdr:colOff>
      <xdr:row>20</xdr:row>
      <xdr:rowOff>160020</xdr:rowOff>
    </xdr:to>
    <xdr:sp macro="" textlink="">
      <xdr:nvSpPr>
        <xdr:cNvPr id="1858" name="diag_228">
          <a:extLst>
            <a:ext uri="{FF2B5EF4-FFF2-40B4-BE49-F238E27FC236}">
              <a16:creationId xmlns:a16="http://schemas.microsoft.com/office/drawing/2014/main" id="{5DD5D310-8AF8-C420-CF96-4D659C226E19}"/>
            </a:ext>
          </a:extLst>
        </xdr:cNvPr>
        <xdr:cNvSpPr/>
      </xdr:nvSpPr>
      <xdr:spPr>
        <a:xfrm>
          <a:off x="1985433" y="3973068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19</xdr:row>
      <xdr:rowOff>117348</xdr:rowOff>
    </xdr:from>
    <xdr:to>
      <xdr:col>6</xdr:col>
      <xdr:colOff>718820</xdr:colOff>
      <xdr:row>20</xdr:row>
      <xdr:rowOff>160020</xdr:rowOff>
    </xdr:to>
    <xdr:sp macro="" textlink="">
      <xdr:nvSpPr>
        <xdr:cNvPr id="1859" name="diag_229">
          <a:extLst>
            <a:ext uri="{FF2B5EF4-FFF2-40B4-BE49-F238E27FC236}">
              <a16:creationId xmlns:a16="http://schemas.microsoft.com/office/drawing/2014/main" id="{3BA32265-2B6C-42DB-F77A-BADF0FBE0200}"/>
            </a:ext>
          </a:extLst>
        </xdr:cNvPr>
        <xdr:cNvSpPr/>
      </xdr:nvSpPr>
      <xdr:spPr>
        <a:xfrm>
          <a:off x="3615267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19</xdr:row>
      <xdr:rowOff>117348</xdr:rowOff>
    </xdr:from>
    <xdr:to>
      <xdr:col>9</xdr:col>
      <xdr:colOff>85513</xdr:colOff>
      <xdr:row>20</xdr:row>
      <xdr:rowOff>160020</xdr:rowOff>
    </xdr:to>
    <xdr:sp macro="" textlink="">
      <xdr:nvSpPr>
        <xdr:cNvPr id="1860" name="diag_230">
          <a:extLst>
            <a:ext uri="{FF2B5EF4-FFF2-40B4-BE49-F238E27FC236}">
              <a16:creationId xmlns:a16="http://schemas.microsoft.com/office/drawing/2014/main" id="{CC4B390E-C879-814E-0D03-931C346E5106}"/>
            </a:ext>
          </a:extLst>
        </xdr:cNvPr>
        <xdr:cNvSpPr/>
      </xdr:nvSpPr>
      <xdr:spPr>
        <a:xfrm>
          <a:off x="52451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19</xdr:row>
      <xdr:rowOff>117348</xdr:rowOff>
    </xdr:from>
    <xdr:to>
      <xdr:col>10</xdr:col>
      <xdr:colOff>262466</xdr:colOff>
      <xdr:row>20</xdr:row>
      <xdr:rowOff>160020</xdr:rowOff>
    </xdr:to>
    <xdr:sp macro="" textlink="">
      <xdr:nvSpPr>
        <xdr:cNvPr id="1861" name="diag_231">
          <a:extLst>
            <a:ext uri="{FF2B5EF4-FFF2-40B4-BE49-F238E27FC236}">
              <a16:creationId xmlns:a16="http://schemas.microsoft.com/office/drawing/2014/main" id="{32DA6D97-55A8-993C-52C3-960F3C7B63B2}"/>
            </a:ext>
          </a:extLst>
        </xdr:cNvPr>
        <xdr:cNvSpPr/>
      </xdr:nvSpPr>
      <xdr:spPr>
        <a:xfrm>
          <a:off x="6874933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1862" name="diag_232">
          <a:extLst>
            <a:ext uri="{FF2B5EF4-FFF2-40B4-BE49-F238E27FC236}">
              <a16:creationId xmlns:a16="http://schemas.microsoft.com/office/drawing/2014/main" id="{C66CACDE-FE25-9800-C3F2-063F17169F3E}"/>
            </a:ext>
          </a:extLst>
        </xdr:cNvPr>
        <xdr:cNvSpPr/>
      </xdr:nvSpPr>
      <xdr:spPr>
        <a:xfrm>
          <a:off x="7806267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50800</xdr:rowOff>
    </xdr:from>
    <xdr:to>
      <xdr:col>11</xdr:col>
      <xdr:colOff>713740</xdr:colOff>
      <xdr:row>21</xdr:row>
      <xdr:rowOff>228600</xdr:rowOff>
    </xdr:to>
    <xdr:sp macro="" textlink="">
      <xdr:nvSpPr>
        <xdr:cNvPr id="1863" name="diag_233">
          <a:extLst>
            <a:ext uri="{FF2B5EF4-FFF2-40B4-BE49-F238E27FC236}">
              <a16:creationId xmlns:a16="http://schemas.microsoft.com/office/drawing/2014/main" id="{22EFD62E-DD46-D583-694D-F4821D7F2638}"/>
            </a:ext>
          </a:extLst>
        </xdr:cNvPr>
        <xdr:cNvSpPr txBox="1"/>
      </xdr:nvSpPr>
      <xdr:spPr>
        <a:xfrm>
          <a:off x="0" y="437896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5 rows  (tiers 6-10)</a:t>
          </a:r>
        </a:p>
      </xdr:txBody>
    </xdr:sp>
    <xdr:clientData/>
  </xdr:twoCellAnchor>
  <xdr:twoCellAnchor>
    <xdr:from>
      <xdr:col>0</xdr:col>
      <xdr:colOff>190500</xdr:colOff>
      <xdr:row>21</xdr:row>
      <xdr:rowOff>228600</xdr:rowOff>
    </xdr:from>
    <xdr:to>
      <xdr:col>0</xdr:col>
      <xdr:colOff>520700</xdr:colOff>
      <xdr:row>22</xdr:row>
      <xdr:rowOff>132080</xdr:rowOff>
    </xdr:to>
    <xdr:sp macro="" textlink="">
      <xdr:nvSpPr>
        <xdr:cNvPr id="1864" name="diag_234">
          <a:extLst>
            <a:ext uri="{FF2B5EF4-FFF2-40B4-BE49-F238E27FC236}">
              <a16:creationId xmlns:a16="http://schemas.microsoft.com/office/drawing/2014/main" id="{B50C52F2-82E0-1F42-77C5-A865A6D8444E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21</xdr:row>
      <xdr:rowOff>228600</xdr:rowOff>
    </xdr:from>
    <xdr:to>
      <xdr:col>2</xdr:col>
      <xdr:colOff>546100</xdr:colOff>
      <xdr:row>22</xdr:row>
      <xdr:rowOff>132080</xdr:rowOff>
    </xdr:to>
    <xdr:sp macro="" textlink="">
      <xdr:nvSpPr>
        <xdr:cNvPr id="1865" name="diag_235">
          <a:extLst>
            <a:ext uri="{FF2B5EF4-FFF2-40B4-BE49-F238E27FC236}">
              <a16:creationId xmlns:a16="http://schemas.microsoft.com/office/drawing/2014/main" id="{46C6FCA8-1A17-D605-3E22-7F8D7CC58786}"/>
            </a:ext>
          </a:extLst>
        </xdr:cNvPr>
        <xdr:cNvSpPr txBox="1"/>
      </xdr:nvSpPr>
      <xdr:spPr>
        <a:xfrm>
          <a:off x="1587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21</xdr:row>
      <xdr:rowOff>228600</xdr:rowOff>
    </xdr:from>
    <xdr:to>
      <xdr:col>4</xdr:col>
      <xdr:colOff>434340</xdr:colOff>
      <xdr:row>22</xdr:row>
      <xdr:rowOff>132080</xdr:rowOff>
    </xdr:to>
    <xdr:sp macro="" textlink="">
      <xdr:nvSpPr>
        <xdr:cNvPr id="1866" name="diag_236">
          <a:extLst>
            <a:ext uri="{FF2B5EF4-FFF2-40B4-BE49-F238E27FC236}">
              <a16:creationId xmlns:a16="http://schemas.microsoft.com/office/drawing/2014/main" id="{A7C2D164-8BBA-A754-FFE4-E73ED8702157}"/>
            </a:ext>
          </a:extLst>
        </xdr:cNvPr>
        <xdr:cNvSpPr txBox="1"/>
      </xdr:nvSpPr>
      <xdr:spPr>
        <a:xfrm>
          <a:off x="298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21</xdr:row>
      <xdr:rowOff>228600</xdr:rowOff>
    </xdr:from>
    <xdr:to>
      <xdr:col>6</xdr:col>
      <xdr:colOff>185420</xdr:colOff>
      <xdr:row>22</xdr:row>
      <xdr:rowOff>132080</xdr:rowOff>
    </xdr:to>
    <xdr:sp macro="" textlink="">
      <xdr:nvSpPr>
        <xdr:cNvPr id="1867" name="diag_237">
          <a:extLst>
            <a:ext uri="{FF2B5EF4-FFF2-40B4-BE49-F238E27FC236}">
              <a16:creationId xmlns:a16="http://schemas.microsoft.com/office/drawing/2014/main" id="{083F2BA3-FB54-742A-10A9-5DE930AACBCA}"/>
            </a:ext>
          </a:extLst>
        </xdr:cNvPr>
        <xdr:cNvSpPr txBox="1"/>
      </xdr:nvSpPr>
      <xdr:spPr>
        <a:xfrm>
          <a:off x="4381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21</xdr:row>
      <xdr:rowOff>228600</xdr:rowOff>
    </xdr:from>
    <xdr:to>
      <xdr:col>8</xdr:col>
      <xdr:colOff>73660</xdr:colOff>
      <xdr:row>22</xdr:row>
      <xdr:rowOff>132080</xdr:rowOff>
    </xdr:to>
    <xdr:sp macro="" textlink="">
      <xdr:nvSpPr>
        <xdr:cNvPr id="1868" name="diag_238">
          <a:extLst>
            <a:ext uri="{FF2B5EF4-FFF2-40B4-BE49-F238E27FC236}">
              <a16:creationId xmlns:a16="http://schemas.microsoft.com/office/drawing/2014/main" id="{717FFE81-EBD7-27EE-900C-4FC39533A7D3}"/>
            </a:ext>
          </a:extLst>
        </xdr:cNvPr>
        <xdr:cNvSpPr txBox="1"/>
      </xdr:nvSpPr>
      <xdr:spPr>
        <a:xfrm>
          <a:off x="5778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21</xdr:row>
      <xdr:rowOff>228600</xdr:rowOff>
    </xdr:from>
    <xdr:to>
      <xdr:col>9</xdr:col>
      <xdr:colOff>716280</xdr:colOff>
      <xdr:row>22</xdr:row>
      <xdr:rowOff>132080</xdr:rowOff>
    </xdr:to>
    <xdr:sp macro="" textlink="">
      <xdr:nvSpPr>
        <xdr:cNvPr id="1869" name="diag_239">
          <a:extLst>
            <a:ext uri="{FF2B5EF4-FFF2-40B4-BE49-F238E27FC236}">
              <a16:creationId xmlns:a16="http://schemas.microsoft.com/office/drawing/2014/main" id="{594DADB3-4634-2854-8881-D33C416B71DB}"/>
            </a:ext>
          </a:extLst>
        </xdr:cNvPr>
        <xdr:cNvSpPr txBox="1"/>
      </xdr:nvSpPr>
      <xdr:spPr>
        <a:xfrm>
          <a:off x="7175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21</xdr:row>
      <xdr:rowOff>228600</xdr:rowOff>
    </xdr:from>
    <xdr:to>
      <xdr:col>11</xdr:col>
      <xdr:colOff>878840</xdr:colOff>
      <xdr:row>22</xdr:row>
      <xdr:rowOff>132080</xdr:rowOff>
    </xdr:to>
    <xdr:sp macro="" textlink="">
      <xdr:nvSpPr>
        <xdr:cNvPr id="1870" name="diag_240">
          <a:extLst>
            <a:ext uri="{FF2B5EF4-FFF2-40B4-BE49-F238E27FC236}">
              <a16:creationId xmlns:a16="http://schemas.microsoft.com/office/drawing/2014/main" id="{8936ADF4-C55D-35C0-DC5C-F2D56C509A1A}"/>
            </a:ext>
          </a:extLst>
        </xdr:cNvPr>
        <xdr:cNvSpPr txBox="1"/>
      </xdr:nvSpPr>
      <xdr:spPr>
        <a:xfrm>
          <a:off x="857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132080</xdr:rowOff>
    </xdr:from>
    <xdr:to>
      <xdr:col>0</xdr:col>
      <xdr:colOff>355600</xdr:colOff>
      <xdr:row>23</xdr:row>
      <xdr:rowOff>174752</xdr:rowOff>
    </xdr:to>
    <xdr:sp macro="" textlink="">
      <xdr:nvSpPr>
        <xdr:cNvPr id="1871" name="diag_241">
          <a:extLst>
            <a:ext uri="{FF2B5EF4-FFF2-40B4-BE49-F238E27FC236}">
              <a16:creationId xmlns:a16="http://schemas.microsoft.com/office/drawing/2014/main" id="{3CAD8023-9B67-6338-C4B2-1543A2AFAE5C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1872" name="diag_242">
          <a:extLst>
            <a:ext uri="{FF2B5EF4-FFF2-40B4-BE49-F238E27FC236}">
              <a16:creationId xmlns:a16="http://schemas.microsoft.com/office/drawing/2014/main" id="{2F96DE49-F6B0-6362-05DE-144CE20C78BB}"/>
            </a:ext>
          </a:extLst>
        </xdr:cNvPr>
        <xdr:cNvSpPr/>
      </xdr:nvSpPr>
      <xdr:spPr>
        <a:xfrm>
          <a:off x="355600" y="469646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2</xdr:col>
      <xdr:colOff>613833</xdr:colOff>
      <xdr:row>23</xdr:row>
      <xdr:rowOff>174752</xdr:rowOff>
    </xdr:to>
    <xdr:sp macro="" textlink="">
      <xdr:nvSpPr>
        <xdr:cNvPr id="1873" name="diag_243">
          <a:extLst>
            <a:ext uri="{FF2B5EF4-FFF2-40B4-BE49-F238E27FC236}">
              <a16:creationId xmlns:a16="http://schemas.microsoft.com/office/drawing/2014/main" id="{317B30E0-9714-681A-A130-4B18C84FF6E0}"/>
            </a:ext>
          </a:extLst>
        </xdr:cNvPr>
        <xdr:cNvSpPr/>
      </xdr:nvSpPr>
      <xdr:spPr>
        <a:xfrm>
          <a:off x="3556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22</xdr:row>
      <xdr:rowOff>132080</xdr:rowOff>
    </xdr:from>
    <xdr:to>
      <xdr:col>4</xdr:col>
      <xdr:colOff>734907</xdr:colOff>
      <xdr:row>23</xdr:row>
      <xdr:rowOff>174752</xdr:rowOff>
    </xdr:to>
    <xdr:sp macro="" textlink="">
      <xdr:nvSpPr>
        <xdr:cNvPr id="1874" name="diag_244">
          <a:extLst>
            <a:ext uri="{FF2B5EF4-FFF2-40B4-BE49-F238E27FC236}">
              <a16:creationId xmlns:a16="http://schemas.microsoft.com/office/drawing/2014/main" id="{936172F8-C15D-BF3A-382E-628B77B0BD84}"/>
            </a:ext>
          </a:extLst>
        </xdr:cNvPr>
        <xdr:cNvSpPr/>
      </xdr:nvSpPr>
      <xdr:spPr>
        <a:xfrm>
          <a:off x="1985433" y="4696460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22</xdr:row>
      <xdr:rowOff>132080</xdr:rowOff>
    </xdr:from>
    <xdr:to>
      <xdr:col>6</xdr:col>
      <xdr:colOff>718820</xdr:colOff>
      <xdr:row>23</xdr:row>
      <xdr:rowOff>174752</xdr:rowOff>
    </xdr:to>
    <xdr:sp macro="" textlink="">
      <xdr:nvSpPr>
        <xdr:cNvPr id="1875" name="diag_245">
          <a:extLst>
            <a:ext uri="{FF2B5EF4-FFF2-40B4-BE49-F238E27FC236}">
              <a16:creationId xmlns:a16="http://schemas.microsoft.com/office/drawing/2014/main" id="{7B266D01-545A-E9D7-82B3-135F31E49E7D}"/>
            </a:ext>
          </a:extLst>
        </xdr:cNvPr>
        <xdr:cNvSpPr/>
      </xdr:nvSpPr>
      <xdr:spPr>
        <a:xfrm>
          <a:off x="3615267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22</xdr:row>
      <xdr:rowOff>132080</xdr:rowOff>
    </xdr:from>
    <xdr:to>
      <xdr:col>9</xdr:col>
      <xdr:colOff>85513</xdr:colOff>
      <xdr:row>23</xdr:row>
      <xdr:rowOff>174752</xdr:rowOff>
    </xdr:to>
    <xdr:sp macro="" textlink="">
      <xdr:nvSpPr>
        <xdr:cNvPr id="1876" name="diag_246">
          <a:extLst>
            <a:ext uri="{FF2B5EF4-FFF2-40B4-BE49-F238E27FC236}">
              <a16:creationId xmlns:a16="http://schemas.microsoft.com/office/drawing/2014/main" id="{8C234D7A-B845-BAFD-226A-4D0CC88BFC10}"/>
            </a:ext>
          </a:extLst>
        </xdr:cNvPr>
        <xdr:cNvSpPr/>
      </xdr:nvSpPr>
      <xdr:spPr>
        <a:xfrm>
          <a:off x="52451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22</xdr:row>
      <xdr:rowOff>132080</xdr:rowOff>
    </xdr:from>
    <xdr:to>
      <xdr:col>10</xdr:col>
      <xdr:colOff>262466</xdr:colOff>
      <xdr:row>23</xdr:row>
      <xdr:rowOff>174752</xdr:rowOff>
    </xdr:to>
    <xdr:sp macro="" textlink="">
      <xdr:nvSpPr>
        <xdr:cNvPr id="1877" name="diag_247">
          <a:extLst>
            <a:ext uri="{FF2B5EF4-FFF2-40B4-BE49-F238E27FC236}">
              <a16:creationId xmlns:a16="http://schemas.microsoft.com/office/drawing/2014/main" id="{0C27DAB9-B87A-30BF-D4BB-9F454E4E704D}"/>
            </a:ext>
          </a:extLst>
        </xdr:cNvPr>
        <xdr:cNvSpPr/>
      </xdr:nvSpPr>
      <xdr:spPr>
        <a:xfrm>
          <a:off x="6874933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1878" name="diag_248">
          <a:extLst>
            <a:ext uri="{FF2B5EF4-FFF2-40B4-BE49-F238E27FC236}">
              <a16:creationId xmlns:a16="http://schemas.microsoft.com/office/drawing/2014/main" id="{B7FFB542-1295-6AE6-4FDC-55088C326CB2}"/>
            </a:ext>
          </a:extLst>
        </xdr:cNvPr>
        <xdr:cNvSpPr/>
      </xdr:nvSpPr>
      <xdr:spPr>
        <a:xfrm>
          <a:off x="7806267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6604</xdr:rowOff>
    </xdr:to>
    <xdr:sp macro="" textlink="">
      <xdr:nvSpPr>
        <xdr:cNvPr id="1879" name="diag_249">
          <a:extLst>
            <a:ext uri="{FF2B5EF4-FFF2-40B4-BE49-F238E27FC236}">
              <a16:creationId xmlns:a16="http://schemas.microsoft.com/office/drawing/2014/main" id="{2C2E9A5A-6114-E756-5698-6BCF4B18951E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1880" name="diag_250">
          <a:extLst>
            <a:ext uri="{FF2B5EF4-FFF2-40B4-BE49-F238E27FC236}">
              <a16:creationId xmlns:a16="http://schemas.microsoft.com/office/drawing/2014/main" id="{92C212F4-38A9-C4E9-0D16-FE8D9F710367}"/>
            </a:ext>
          </a:extLst>
        </xdr:cNvPr>
        <xdr:cNvSpPr/>
      </xdr:nvSpPr>
      <xdr:spPr>
        <a:xfrm>
          <a:off x="355600" y="500075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613833</xdr:colOff>
      <xdr:row>25</xdr:row>
      <xdr:rowOff>6604</xdr:rowOff>
    </xdr:to>
    <xdr:sp macro="" textlink="">
      <xdr:nvSpPr>
        <xdr:cNvPr id="1881" name="diag_251">
          <a:extLst>
            <a:ext uri="{FF2B5EF4-FFF2-40B4-BE49-F238E27FC236}">
              <a16:creationId xmlns:a16="http://schemas.microsoft.com/office/drawing/2014/main" id="{450C322A-6097-FA2C-3B68-68B6676BC60E}"/>
            </a:ext>
          </a:extLst>
        </xdr:cNvPr>
        <xdr:cNvSpPr/>
      </xdr:nvSpPr>
      <xdr:spPr>
        <a:xfrm>
          <a:off x="355600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23</xdr:row>
      <xdr:rowOff>200152</xdr:rowOff>
    </xdr:from>
    <xdr:to>
      <xdr:col>4</xdr:col>
      <xdr:colOff>734907</xdr:colOff>
      <xdr:row>25</xdr:row>
      <xdr:rowOff>6604</xdr:rowOff>
    </xdr:to>
    <xdr:sp macro="" textlink="">
      <xdr:nvSpPr>
        <xdr:cNvPr id="1882" name="diag_252">
          <a:extLst>
            <a:ext uri="{FF2B5EF4-FFF2-40B4-BE49-F238E27FC236}">
              <a16:creationId xmlns:a16="http://schemas.microsoft.com/office/drawing/2014/main" id="{5125D42E-3993-038D-4524-9C4B9CFBA96B}"/>
            </a:ext>
          </a:extLst>
        </xdr:cNvPr>
        <xdr:cNvSpPr/>
      </xdr:nvSpPr>
      <xdr:spPr>
        <a:xfrm>
          <a:off x="1985433" y="5000752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23</xdr:row>
      <xdr:rowOff>200152</xdr:rowOff>
    </xdr:from>
    <xdr:to>
      <xdr:col>6</xdr:col>
      <xdr:colOff>718820</xdr:colOff>
      <xdr:row>25</xdr:row>
      <xdr:rowOff>6604</xdr:rowOff>
    </xdr:to>
    <xdr:sp macro="" textlink="">
      <xdr:nvSpPr>
        <xdr:cNvPr id="1883" name="diag_253">
          <a:extLst>
            <a:ext uri="{FF2B5EF4-FFF2-40B4-BE49-F238E27FC236}">
              <a16:creationId xmlns:a16="http://schemas.microsoft.com/office/drawing/2014/main" id="{8F55119E-0F4A-470E-8719-97AB5134DEE1}"/>
            </a:ext>
          </a:extLst>
        </xdr:cNvPr>
        <xdr:cNvSpPr/>
      </xdr:nvSpPr>
      <xdr:spPr>
        <a:xfrm>
          <a:off x="3615267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23</xdr:row>
      <xdr:rowOff>200152</xdr:rowOff>
    </xdr:from>
    <xdr:to>
      <xdr:col>8</xdr:col>
      <xdr:colOff>374227</xdr:colOff>
      <xdr:row>25</xdr:row>
      <xdr:rowOff>6604</xdr:rowOff>
    </xdr:to>
    <xdr:sp macro="" textlink="">
      <xdr:nvSpPr>
        <xdr:cNvPr id="1884" name="diag_254">
          <a:extLst>
            <a:ext uri="{FF2B5EF4-FFF2-40B4-BE49-F238E27FC236}">
              <a16:creationId xmlns:a16="http://schemas.microsoft.com/office/drawing/2014/main" id="{193AB705-F559-E35A-CE99-635F8C182770}"/>
            </a:ext>
          </a:extLst>
        </xdr:cNvPr>
        <xdr:cNvSpPr/>
      </xdr:nvSpPr>
      <xdr:spPr>
        <a:xfrm>
          <a:off x="5245100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23</xdr:row>
      <xdr:rowOff>200152</xdr:rowOff>
    </xdr:from>
    <xdr:to>
      <xdr:col>10</xdr:col>
      <xdr:colOff>29633</xdr:colOff>
      <xdr:row>25</xdr:row>
      <xdr:rowOff>6604</xdr:rowOff>
    </xdr:to>
    <xdr:sp macro="" textlink="">
      <xdr:nvSpPr>
        <xdr:cNvPr id="1885" name="diag_255">
          <a:extLst>
            <a:ext uri="{FF2B5EF4-FFF2-40B4-BE49-F238E27FC236}">
              <a16:creationId xmlns:a16="http://schemas.microsoft.com/office/drawing/2014/main" id="{AC916E70-0ADC-E2CB-4435-F2DBE50C3FA8}"/>
            </a:ext>
          </a:extLst>
        </xdr:cNvPr>
        <xdr:cNvSpPr/>
      </xdr:nvSpPr>
      <xdr:spPr>
        <a:xfrm>
          <a:off x="6409267" y="5000752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1886" name="diag_256">
          <a:extLst>
            <a:ext uri="{FF2B5EF4-FFF2-40B4-BE49-F238E27FC236}">
              <a16:creationId xmlns:a16="http://schemas.microsoft.com/office/drawing/2014/main" id="{399B7CFD-EF8D-BFF1-9AF4-50813C9E9851}"/>
            </a:ext>
          </a:extLst>
        </xdr:cNvPr>
        <xdr:cNvSpPr/>
      </xdr:nvSpPr>
      <xdr:spPr>
        <a:xfrm>
          <a:off x="7573433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32004</xdr:rowOff>
    </xdr:from>
    <xdr:to>
      <xdr:col>0</xdr:col>
      <xdr:colOff>355600</xdr:colOff>
      <xdr:row>26</xdr:row>
      <xdr:rowOff>74676</xdr:rowOff>
    </xdr:to>
    <xdr:sp macro="" textlink="">
      <xdr:nvSpPr>
        <xdr:cNvPr id="1887" name="diag_257">
          <a:extLst>
            <a:ext uri="{FF2B5EF4-FFF2-40B4-BE49-F238E27FC236}">
              <a16:creationId xmlns:a16="http://schemas.microsoft.com/office/drawing/2014/main" id="{6B907E2A-3585-4818-4F3E-CAD2EFF9E4B2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1888" name="diag_258">
          <a:extLst>
            <a:ext uri="{FF2B5EF4-FFF2-40B4-BE49-F238E27FC236}">
              <a16:creationId xmlns:a16="http://schemas.microsoft.com/office/drawing/2014/main" id="{F7A30C83-9AE4-1F21-219B-383ADC864C9A}"/>
            </a:ext>
          </a:extLst>
        </xdr:cNvPr>
        <xdr:cNvSpPr/>
      </xdr:nvSpPr>
      <xdr:spPr>
        <a:xfrm>
          <a:off x="355600" y="530504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2</xdr:col>
      <xdr:colOff>381000</xdr:colOff>
      <xdr:row>26</xdr:row>
      <xdr:rowOff>74676</xdr:rowOff>
    </xdr:to>
    <xdr:sp macro="" textlink="">
      <xdr:nvSpPr>
        <xdr:cNvPr id="1889" name="diag_259">
          <a:extLst>
            <a:ext uri="{FF2B5EF4-FFF2-40B4-BE49-F238E27FC236}">
              <a16:creationId xmlns:a16="http://schemas.microsoft.com/office/drawing/2014/main" id="{449989B3-20CC-DA02-9128-8CFD8C16CE1C}"/>
            </a:ext>
          </a:extLst>
        </xdr:cNvPr>
        <xdr:cNvSpPr/>
      </xdr:nvSpPr>
      <xdr:spPr>
        <a:xfrm>
          <a:off x="355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25</xdr:row>
      <xdr:rowOff>32004</xdr:rowOff>
    </xdr:from>
    <xdr:to>
      <xdr:col>4</xdr:col>
      <xdr:colOff>269240</xdr:colOff>
      <xdr:row>26</xdr:row>
      <xdr:rowOff>74676</xdr:rowOff>
    </xdr:to>
    <xdr:sp macro="" textlink="">
      <xdr:nvSpPr>
        <xdr:cNvPr id="1890" name="diag_260">
          <a:extLst>
            <a:ext uri="{FF2B5EF4-FFF2-40B4-BE49-F238E27FC236}">
              <a16:creationId xmlns:a16="http://schemas.microsoft.com/office/drawing/2014/main" id="{752C609B-1EEF-1996-DE7B-ED2561B457F2}"/>
            </a:ext>
          </a:extLst>
        </xdr:cNvPr>
        <xdr:cNvSpPr/>
      </xdr:nvSpPr>
      <xdr:spPr>
        <a:xfrm>
          <a:off x="1752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269240</xdr:colOff>
      <xdr:row>25</xdr:row>
      <xdr:rowOff>32004</xdr:rowOff>
    </xdr:from>
    <xdr:to>
      <xdr:col>6</xdr:col>
      <xdr:colOff>20320</xdr:colOff>
      <xdr:row>26</xdr:row>
      <xdr:rowOff>74676</xdr:rowOff>
    </xdr:to>
    <xdr:sp macro="" textlink="">
      <xdr:nvSpPr>
        <xdr:cNvPr id="1891" name="diag_261">
          <a:extLst>
            <a:ext uri="{FF2B5EF4-FFF2-40B4-BE49-F238E27FC236}">
              <a16:creationId xmlns:a16="http://schemas.microsoft.com/office/drawing/2014/main" id="{E3FEBDE1-4FB3-29B0-5186-AA3E8B33F477}"/>
            </a:ext>
          </a:extLst>
        </xdr:cNvPr>
        <xdr:cNvSpPr/>
      </xdr:nvSpPr>
      <xdr:spPr>
        <a:xfrm>
          <a:off x="3149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20320</xdr:colOff>
      <xdr:row>25</xdr:row>
      <xdr:rowOff>32004</xdr:rowOff>
    </xdr:from>
    <xdr:to>
      <xdr:col>7</xdr:col>
      <xdr:colOff>662940</xdr:colOff>
      <xdr:row>26</xdr:row>
      <xdr:rowOff>74676</xdr:rowOff>
    </xdr:to>
    <xdr:sp macro="" textlink="">
      <xdr:nvSpPr>
        <xdr:cNvPr id="1892" name="diag_262">
          <a:extLst>
            <a:ext uri="{FF2B5EF4-FFF2-40B4-BE49-F238E27FC236}">
              <a16:creationId xmlns:a16="http://schemas.microsoft.com/office/drawing/2014/main" id="{5B649973-7BF1-B36C-4319-C1C586BA598E}"/>
            </a:ext>
          </a:extLst>
        </xdr:cNvPr>
        <xdr:cNvSpPr/>
      </xdr:nvSpPr>
      <xdr:spPr>
        <a:xfrm>
          <a:off x="4546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662940</xdr:colOff>
      <xdr:row>25</xdr:row>
      <xdr:rowOff>32004</xdr:rowOff>
    </xdr:from>
    <xdr:to>
      <xdr:col>9</xdr:col>
      <xdr:colOff>551180</xdr:colOff>
      <xdr:row>26</xdr:row>
      <xdr:rowOff>74676</xdr:rowOff>
    </xdr:to>
    <xdr:sp macro="" textlink="">
      <xdr:nvSpPr>
        <xdr:cNvPr id="1893" name="diag_263">
          <a:extLst>
            <a:ext uri="{FF2B5EF4-FFF2-40B4-BE49-F238E27FC236}">
              <a16:creationId xmlns:a16="http://schemas.microsoft.com/office/drawing/2014/main" id="{EB8193C8-07A5-31EA-1352-99EC834A15D0}"/>
            </a:ext>
          </a:extLst>
        </xdr:cNvPr>
        <xdr:cNvSpPr/>
      </xdr:nvSpPr>
      <xdr:spPr>
        <a:xfrm>
          <a:off x="5943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1894" name="diag_264">
          <a:extLst>
            <a:ext uri="{FF2B5EF4-FFF2-40B4-BE49-F238E27FC236}">
              <a16:creationId xmlns:a16="http://schemas.microsoft.com/office/drawing/2014/main" id="{102A6DB2-AD1B-5F87-CDF6-43D58369380D}"/>
            </a:ext>
          </a:extLst>
        </xdr:cNvPr>
        <xdr:cNvSpPr/>
      </xdr:nvSpPr>
      <xdr:spPr>
        <a:xfrm>
          <a:off x="7340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100076</xdr:rowOff>
    </xdr:from>
    <xdr:to>
      <xdr:col>0</xdr:col>
      <xdr:colOff>355600</xdr:colOff>
      <xdr:row>27</xdr:row>
      <xdr:rowOff>142748</xdr:rowOff>
    </xdr:to>
    <xdr:sp macro="" textlink="">
      <xdr:nvSpPr>
        <xdr:cNvPr id="1895" name="diag_265">
          <a:extLst>
            <a:ext uri="{FF2B5EF4-FFF2-40B4-BE49-F238E27FC236}">
              <a16:creationId xmlns:a16="http://schemas.microsoft.com/office/drawing/2014/main" id="{F5FE43D4-3394-1057-B054-6DC89AE82A40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1896" name="diag_266">
          <a:extLst>
            <a:ext uri="{FF2B5EF4-FFF2-40B4-BE49-F238E27FC236}">
              <a16:creationId xmlns:a16="http://schemas.microsoft.com/office/drawing/2014/main" id="{291758E8-3FBE-68AE-A754-0FCFE218CBDB}"/>
            </a:ext>
          </a:extLst>
        </xdr:cNvPr>
        <xdr:cNvSpPr/>
      </xdr:nvSpPr>
      <xdr:spPr>
        <a:xfrm>
          <a:off x="355600" y="560933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2</xdr:col>
      <xdr:colOff>381000</xdr:colOff>
      <xdr:row>27</xdr:row>
      <xdr:rowOff>142748</xdr:rowOff>
    </xdr:to>
    <xdr:sp macro="" textlink="">
      <xdr:nvSpPr>
        <xdr:cNvPr id="1897" name="diag_267">
          <a:extLst>
            <a:ext uri="{FF2B5EF4-FFF2-40B4-BE49-F238E27FC236}">
              <a16:creationId xmlns:a16="http://schemas.microsoft.com/office/drawing/2014/main" id="{D14C482A-9E82-882A-F54F-14295B183501}"/>
            </a:ext>
          </a:extLst>
        </xdr:cNvPr>
        <xdr:cNvSpPr/>
      </xdr:nvSpPr>
      <xdr:spPr>
        <a:xfrm>
          <a:off x="355600" y="560933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26</xdr:row>
      <xdr:rowOff>100076</xdr:rowOff>
    </xdr:from>
    <xdr:to>
      <xdr:col>4</xdr:col>
      <xdr:colOff>36407</xdr:colOff>
      <xdr:row>27</xdr:row>
      <xdr:rowOff>142748</xdr:rowOff>
    </xdr:to>
    <xdr:sp macro="" textlink="">
      <xdr:nvSpPr>
        <xdr:cNvPr id="1898" name="diag_268">
          <a:extLst>
            <a:ext uri="{FF2B5EF4-FFF2-40B4-BE49-F238E27FC236}">
              <a16:creationId xmlns:a16="http://schemas.microsoft.com/office/drawing/2014/main" id="{468FBC32-5639-5A85-F9E8-CC797D4CF7DB}"/>
            </a:ext>
          </a:extLst>
        </xdr:cNvPr>
        <xdr:cNvSpPr/>
      </xdr:nvSpPr>
      <xdr:spPr>
        <a:xfrm>
          <a:off x="17526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26</xdr:row>
      <xdr:rowOff>100076</xdr:rowOff>
    </xdr:from>
    <xdr:to>
      <xdr:col>5</xdr:col>
      <xdr:colOff>309033</xdr:colOff>
      <xdr:row>27</xdr:row>
      <xdr:rowOff>142748</xdr:rowOff>
    </xdr:to>
    <xdr:sp macro="" textlink="">
      <xdr:nvSpPr>
        <xdr:cNvPr id="1899" name="diag_269">
          <a:extLst>
            <a:ext uri="{FF2B5EF4-FFF2-40B4-BE49-F238E27FC236}">
              <a16:creationId xmlns:a16="http://schemas.microsoft.com/office/drawing/2014/main" id="{2A74C527-D3DA-8223-029A-CD96949D9D87}"/>
            </a:ext>
          </a:extLst>
        </xdr:cNvPr>
        <xdr:cNvSpPr/>
      </xdr:nvSpPr>
      <xdr:spPr>
        <a:xfrm>
          <a:off x="29167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26</xdr:row>
      <xdr:rowOff>100076</xdr:rowOff>
    </xdr:from>
    <xdr:to>
      <xdr:col>6</xdr:col>
      <xdr:colOff>718820</xdr:colOff>
      <xdr:row>27</xdr:row>
      <xdr:rowOff>142748</xdr:rowOff>
    </xdr:to>
    <xdr:sp macro="" textlink="">
      <xdr:nvSpPr>
        <xdr:cNvPr id="1900" name="diag_270">
          <a:extLst>
            <a:ext uri="{FF2B5EF4-FFF2-40B4-BE49-F238E27FC236}">
              <a16:creationId xmlns:a16="http://schemas.microsoft.com/office/drawing/2014/main" id="{E9EFFCB0-40C8-2782-042B-4FD87C3D13DE}"/>
            </a:ext>
          </a:extLst>
        </xdr:cNvPr>
        <xdr:cNvSpPr/>
      </xdr:nvSpPr>
      <xdr:spPr>
        <a:xfrm>
          <a:off x="40809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26</xdr:row>
      <xdr:rowOff>100076</xdr:rowOff>
    </xdr:from>
    <xdr:to>
      <xdr:col>8</xdr:col>
      <xdr:colOff>374227</xdr:colOff>
      <xdr:row>27</xdr:row>
      <xdr:rowOff>142748</xdr:rowOff>
    </xdr:to>
    <xdr:sp macro="" textlink="">
      <xdr:nvSpPr>
        <xdr:cNvPr id="1901" name="diag_271">
          <a:extLst>
            <a:ext uri="{FF2B5EF4-FFF2-40B4-BE49-F238E27FC236}">
              <a16:creationId xmlns:a16="http://schemas.microsoft.com/office/drawing/2014/main" id="{AED79123-F660-3625-9B10-9EB7C00EC760}"/>
            </a:ext>
          </a:extLst>
        </xdr:cNvPr>
        <xdr:cNvSpPr/>
      </xdr:nvSpPr>
      <xdr:spPr>
        <a:xfrm>
          <a:off x="52451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26</xdr:row>
      <xdr:rowOff>100076</xdr:rowOff>
    </xdr:from>
    <xdr:to>
      <xdr:col>10</xdr:col>
      <xdr:colOff>29633</xdr:colOff>
      <xdr:row>27</xdr:row>
      <xdr:rowOff>142748</xdr:rowOff>
    </xdr:to>
    <xdr:sp macro="" textlink="">
      <xdr:nvSpPr>
        <xdr:cNvPr id="1902" name="diag_272">
          <a:extLst>
            <a:ext uri="{FF2B5EF4-FFF2-40B4-BE49-F238E27FC236}">
              <a16:creationId xmlns:a16="http://schemas.microsoft.com/office/drawing/2014/main" id="{28A7FC6A-CC23-209F-EFDE-00AB165841CC}"/>
            </a:ext>
          </a:extLst>
        </xdr:cNvPr>
        <xdr:cNvSpPr/>
      </xdr:nvSpPr>
      <xdr:spPr>
        <a:xfrm>
          <a:off x="64092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1903" name="diag_273">
          <a:extLst>
            <a:ext uri="{FF2B5EF4-FFF2-40B4-BE49-F238E27FC236}">
              <a16:creationId xmlns:a16="http://schemas.microsoft.com/office/drawing/2014/main" id="{89A2974F-23BC-FF4D-A3B2-9BE9879CE4E0}"/>
            </a:ext>
          </a:extLst>
        </xdr:cNvPr>
        <xdr:cNvSpPr/>
      </xdr:nvSpPr>
      <xdr:spPr>
        <a:xfrm>
          <a:off x="75734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168148</xdr:rowOff>
    </xdr:from>
    <xdr:to>
      <xdr:col>0</xdr:col>
      <xdr:colOff>355600</xdr:colOff>
      <xdr:row>28</xdr:row>
      <xdr:rowOff>210820</xdr:rowOff>
    </xdr:to>
    <xdr:sp macro="" textlink="">
      <xdr:nvSpPr>
        <xdr:cNvPr id="1904" name="diag_274">
          <a:extLst>
            <a:ext uri="{FF2B5EF4-FFF2-40B4-BE49-F238E27FC236}">
              <a16:creationId xmlns:a16="http://schemas.microsoft.com/office/drawing/2014/main" id="{7E03EE25-817F-865B-788A-CED369AF26C7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1905" name="diag_275">
          <a:extLst>
            <a:ext uri="{FF2B5EF4-FFF2-40B4-BE49-F238E27FC236}">
              <a16:creationId xmlns:a16="http://schemas.microsoft.com/office/drawing/2014/main" id="{562C5696-BA17-32F6-843A-628A29147B44}"/>
            </a:ext>
          </a:extLst>
        </xdr:cNvPr>
        <xdr:cNvSpPr/>
      </xdr:nvSpPr>
      <xdr:spPr>
        <a:xfrm>
          <a:off x="355600" y="591362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2</xdr:col>
      <xdr:colOff>381000</xdr:colOff>
      <xdr:row>28</xdr:row>
      <xdr:rowOff>210820</xdr:rowOff>
    </xdr:to>
    <xdr:sp macro="" textlink="">
      <xdr:nvSpPr>
        <xdr:cNvPr id="1906" name="diag_276">
          <a:extLst>
            <a:ext uri="{FF2B5EF4-FFF2-40B4-BE49-F238E27FC236}">
              <a16:creationId xmlns:a16="http://schemas.microsoft.com/office/drawing/2014/main" id="{29641B37-FB7B-BA67-35F6-94CD76EF9EC4}"/>
            </a:ext>
          </a:extLst>
        </xdr:cNvPr>
        <xdr:cNvSpPr/>
      </xdr:nvSpPr>
      <xdr:spPr>
        <a:xfrm>
          <a:off x="355600" y="5913628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27</xdr:row>
      <xdr:rowOff>168148</xdr:rowOff>
    </xdr:from>
    <xdr:to>
      <xdr:col>4</xdr:col>
      <xdr:colOff>36407</xdr:colOff>
      <xdr:row>28</xdr:row>
      <xdr:rowOff>210820</xdr:rowOff>
    </xdr:to>
    <xdr:sp macro="" textlink="">
      <xdr:nvSpPr>
        <xdr:cNvPr id="1907" name="diag_277">
          <a:extLst>
            <a:ext uri="{FF2B5EF4-FFF2-40B4-BE49-F238E27FC236}">
              <a16:creationId xmlns:a16="http://schemas.microsoft.com/office/drawing/2014/main" id="{434C1D25-5B02-0D33-0155-DA5BF18E0593}"/>
            </a:ext>
          </a:extLst>
        </xdr:cNvPr>
        <xdr:cNvSpPr/>
      </xdr:nvSpPr>
      <xdr:spPr>
        <a:xfrm>
          <a:off x="17526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27</xdr:row>
      <xdr:rowOff>168148</xdr:rowOff>
    </xdr:from>
    <xdr:to>
      <xdr:col>5</xdr:col>
      <xdr:colOff>309033</xdr:colOff>
      <xdr:row>28</xdr:row>
      <xdr:rowOff>210820</xdr:rowOff>
    </xdr:to>
    <xdr:sp macro="" textlink="">
      <xdr:nvSpPr>
        <xdr:cNvPr id="1908" name="diag_278">
          <a:extLst>
            <a:ext uri="{FF2B5EF4-FFF2-40B4-BE49-F238E27FC236}">
              <a16:creationId xmlns:a16="http://schemas.microsoft.com/office/drawing/2014/main" id="{A1A54B81-E1C9-BFAB-4056-4359FD976D24}"/>
            </a:ext>
          </a:extLst>
        </xdr:cNvPr>
        <xdr:cNvSpPr/>
      </xdr:nvSpPr>
      <xdr:spPr>
        <a:xfrm>
          <a:off x="29167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27</xdr:row>
      <xdr:rowOff>168148</xdr:rowOff>
    </xdr:from>
    <xdr:to>
      <xdr:col>6</xdr:col>
      <xdr:colOff>718820</xdr:colOff>
      <xdr:row>28</xdr:row>
      <xdr:rowOff>210820</xdr:rowOff>
    </xdr:to>
    <xdr:sp macro="" textlink="">
      <xdr:nvSpPr>
        <xdr:cNvPr id="1909" name="diag_279">
          <a:extLst>
            <a:ext uri="{FF2B5EF4-FFF2-40B4-BE49-F238E27FC236}">
              <a16:creationId xmlns:a16="http://schemas.microsoft.com/office/drawing/2014/main" id="{AD5FC27A-A028-DECB-93C2-2BE34A5338A5}"/>
            </a:ext>
          </a:extLst>
        </xdr:cNvPr>
        <xdr:cNvSpPr/>
      </xdr:nvSpPr>
      <xdr:spPr>
        <a:xfrm>
          <a:off x="40809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27</xdr:row>
      <xdr:rowOff>168148</xdr:rowOff>
    </xdr:from>
    <xdr:to>
      <xdr:col>8</xdr:col>
      <xdr:colOff>374227</xdr:colOff>
      <xdr:row>28</xdr:row>
      <xdr:rowOff>210820</xdr:rowOff>
    </xdr:to>
    <xdr:sp macro="" textlink="">
      <xdr:nvSpPr>
        <xdr:cNvPr id="1910" name="diag_280">
          <a:extLst>
            <a:ext uri="{FF2B5EF4-FFF2-40B4-BE49-F238E27FC236}">
              <a16:creationId xmlns:a16="http://schemas.microsoft.com/office/drawing/2014/main" id="{39E53920-20C0-309D-9234-2E6BD4D75D8A}"/>
            </a:ext>
          </a:extLst>
        </xdr:cNvPr>
        <xdr:cNvSpPr/>
      </xdr:nvSpPr>
      <xdr:spPr>
        <a:xfrm>
          <a:off x="52451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27</xdr:row>
      <xdr:rowOff>168148</xdr:rowOff>
    </xdr:from>
    <xdr:to>
      <xdr:col>10</xdr:col>
      <xdr:colOff>29633</xdr:colOff>
      <xdr:row>28</xdr:row>
      <xdr:rowOff>210820</xdr:rowOff>
    </xdr:to>
    <xdr:sp macro="" textlink="">
      <xdr:nvSpPr>
        <xdr:cNvPr id="1911" name="diag_281">
          <a:extLst>
            <a:ext uri="{FF2B5EF4-FFF2-40B4-BE49-F238E27FC236}">
              <a16:creationId xmlns:a16="http://schemas.microsoft.com/office/drawing/2014/main" id="{09AB2880-75BB-AECE-54EF-AB3E27991642}"/>
            </a:ext>
          </a:extLst>
        </xdr:cNvPr>
        <xdr:cNvSpPr/>
      </xdr:nvSpPr>
      <xdr:spPr>
        <a:xfrm>
          <a:off x="64092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1912" name="diag_282">
          <a:extLst>
            <a:ext uri="{FF2B5EF4-FFF2-40B4-BE49-F238E27FC236}">
              <a16:creationId xmlns:a16="http://schemas.microsoft.com/office/drawing/2014/main" id="{BEDED62F-DCAD-85C5-6C04-AE491206FECA}"/>
            </a:ext>
          </a:extLst>
        </xdr:cNvPr>
        <xdr:cNvSpPr/>
      </xdr:nvSpPr>
      <xdr:spPr>
        <a:xfrm>
          <a:off x="75734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3</xdr:col>
      <xdr:colOff>7620</xdr:colOff>
      <xdr:row>30</xdr:row>
      <xdr:rowOff>7620</xdr:rowOff>
    </xdr:to>
    <xdr:sp macro="" textlink="">
      <xdr:nvSpPr>
        <xdr:cNvPr id="1913" name="pick_63">
          <a:extLst>
            <a:ext uri="{FF2B5EF4-FFF2-40B4-BE49-F238E27FC236}">
              <a16:creationId xmlns:a16="http://schemas.microsoft.com/office/drawing/2014/main" id="{2B73C74D-E70D-23D7-5D17-D0A94C1CA814}"/>
            </a:ext>
          </a:extLst>
        </xdr:cNvPr>
        <xdr:cNvSpPr/>
      </xdr:nvSpPr>
      <xdr:spPr>
        <a:xfrm>
          <a:off x="0" y="6217920"/>
          <a:ext cx="2133600" cy="190500"/>
        </a:xfrm>
        <a:prstGeom prst="rect">
          <a:avLst/>
        </a:prstGeom>
        <a:solidFill>
          <a:srgbClr val="22282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r>
            <a:rPr lang="en-US" sz="900" b="1">
              <a:solidFill>
                <a:srgbClr val="FFFFFF"/>
              </a:solidFill>
            </a:rPr>
            <a:t>PICK LIST  -  packs to pull   (5 items  /  58 packs)</a:t>
          </a:r>
        </a:p>
      </xdr:txBody>
    </xdr:sp>
    <xdr:clientData/>
  </xdr:twoCellAnchor>
  <xdr:twoCellAnchor>
    <xdr:from>
      <xdr:col>0</xdr:col>
      <xdr:colOff>0</xdr:colOff>
      <xdr:row>30</xdr:row>
      <xdr:rowOff>7620</xdr:rowOff>
    </xdr:from>
    <xdr:to>
      <xdr:col>0</xdr:col>
      <xdr:colOff>279400</xdr:colOff>
      <xdr:row>30</xdr:row>
      <xdr:rowOff>172720</xdr:rowOff>
    </xdr:to>
    <xdr:sp macro="" textlink="">
      <xdr:nvSpPr>
        <xdr:cNvPr id="1914" name="pick_64">
          <a:extLst>
            <a:ext uri="{FF2B5EF4-FFF2-40B4-BE49-F238E27FC236}">
              <a16:creationId xmlns:a16="http://schemas.microsoft.com/office/drawing/2014/main" id="{85FF0901-E046-AAEB-B9AA-00ACCD48E8B8}"/>
            </a:ext>
          </a:extLst>
        </xdr:cNvPr>
        <xdr:cNvSpPr/>
      </xdr:nvSpPr>
      <xdr:spPr>
        <a:xfrm>
          <a:off x="0" y="6408420"/>
          <a:ext cx="2794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#</a:t>
          </a:r>
        </a:p>
      </xdr:txBody>
    </xdr:sp>
    <xdr:clientData/>
  </xdr:twoCellAnchor>
  <xdr:twoCellAnchor>
    <xdr:from>
      <xdr:col>0</xdr:col>
      <xdr:colOff>279400</xdr:colOff>
      <xdr:row>30</xdr:row>
      <xdr:rowOff>7620</xdr:rowOff>
    </xdr:from>
    <xdr:to>
      <xdr:col>1</xdr:col>
      <xdr:colOff>246380</xdr:colOff>
      <xdr:row>30</xdr:row>
      <xdr:rowOff>172720</xdr:rowOff>
    </xdr:to>
    <xdr:sp macro="" textlink="">
      <xdr:nvSpPr>
        <xdr:cNvPr id="1915" name="pick_65">
          <a:extLst>
            <a:ext uri="{FF2B5EF4-FFF2-40B4-BE49-F238E27FC236}">
              <a16:creationId xmlns:a16="http://schemas.microsoft.com/office/drawing/2014/main" id="{186C0EEC-6C6A-0766-BB2A-C9BFCFBD1151}"/>
            </a:ext>
          </a:extLst>
        </xdr:cNvPr>
        <xdr:cNvSpPr/>
      </xdr:nvSpPr>
      <xdr:spPr>
        <a:xfrm>
          <a:off x="279400" y="6408420"/>
          <a:ext cx="584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Product</a:t>
          </a:r>
        </a:p>
      </xdr:txBody>
    </xdr:sp>
    <xdr:clientData/>
  </xdr:twoCellAnchor>
  <xdr:twoCellAnchor>
    <xdr:from>
      <xdr:col>1</xdr:col>
      <xdr:colOff>246380</xdr:colOff>
      <xdr:row>30</xdr:row>
      <xdr:rowOff>7620</xdr:rowOff>
    </xdr:from>
    <xdr:to>
      <xdr:col>1</xdr:col>
      <xdr:colOff>678180</xdr:colOff>
      <xdr:row>30</xdr:row>
      <xdr:rowOff>172720</xdr:rowOff>
    </xdr:to>
    <xdr:sp macro="" textlink="">
      <xdr:nvSpPr>
        <xdr:cNvPr id="1916" name="pick_66">
          <a:extLst>
            <a:ext uri="{FF2B5EF4-FFF2-40B4-BE49-F238E27FC236}">
              <a16:creationId xmlns:a16="http://schemas.microsoft.com/office/drawing/2014/main" id="{91749437-B3C5-4850-D082-C65392DA1177}"/>
            </a:ext>
          </a:extLst>
        </xdr:cNvPr>
        <xdr:cNvSpPr/>
      </xdr:nvSpPr>
      <xdr:spPr>
        <a:xfrm>
          <a:off x="863600" y="6408420"/>
          <a:ext cx="4318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Len</a:t>
          </a:r>
        </a:p>
      </xdr:txBody>
    </xdr:sp>
    <xdr:clientData/>
  </xdr:twoCellAnchor>
  <xdr:twoCellAnchor>
    <xdr:from>
      <xdr:col>1</xdr:col>
      <xdr:colOff>678180</xdr:colOff>
      <xdr:row>30</xdr:row>
      <xdr:rowOff>7620</xdr:rowOff>
    </xdr:from>
    <xdr:to>
      <xdr:col>2</xdr:col>
      <xdr:colOff>254000</xdr:colOff>
      <xdr:row>30</xdr:row>
      <xdr:rowOff>172720</xdr:rowOff>
    </xdr:to>
    <xdr:sp macro="" textlink="">
      <xdr:nvSpPr>
        <xdr:cNvPr id="1917" name="pick_67">
          <a:extLst>
            <a:ext uri="{FF2B5EF4-FFF2-40B4-BE49-F238E27FC236}">
              <a16:creationId xmlns:a16="http://schemas.microsoft.com/office/drawing/2014/main" id="{1FD308D9-4FDC-A543-2A68-AF638E1C85C6}"/>
            </a:ext>
          </a:extLst>
        </xdr:cNvPr>
        <xdr:cNvSpPr/>
      </xdr:nvSpPr>
      <xdr:spPr>
        <a:xfrm>
          <a:off x="1295400" y="6408420"/>
          <a:ext cx="330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Grd</a:t>
          </a:r>
        </a:p>
      </xdr:txBody>
    </xdr:sp>
    <xdr:clientData/>
  </xdr:twoCellAnchor>
  <xdr:twoCellAnchor>
    <xdr:from>
      <xdr:col>2</xdr:col>
      <xdr:colOff>254000</xdr:colOff>
      <xdr:row>30</xdr:row>
      <xdr:rowOff>7620</xdr:rowOff>
    </xdr:from>
    <xdr:to>
      <xdr:col>3</xdr:col>
      <xdr:colOff>7620</xdr:colOff>
      <xdr:row>30</xdr:row>
      <xdr:rowOff>172720</xdr:rowOff>
    </xdr:to>
    <xdr:sp macro="" textlink="">
      <xdr:nvSpPr>
        <xdr:cNvPr id="1918" name="pick_68">
          <a:extLst>
            <a:ext uri="{FF2B5EF4-FFF2-40B4-BE49-F238E27FC236}">
              <a16:creationId xmlns:a16="http://schemas.microsoft.com/office/drawing/2014/main" id="{DEFF4DA0-180A-129E-FAAD-E780A70E99C1}"/>
            </a:ext>
          </a:extLst>
        </xdr:cNvPr>
        <xdr:cNvSpPr/>
      </xdr:nvSpPr>
      <xdr:spPr>
        <a:xfrm>
          <a:off x="1625600" y="6408420"/>
          <a:ext cx="5080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Packs</a:t>
          </a:r>
        </a:p>
      </xdr:txBody>
    </xdr:sp>
    <xdr:clientData/>
  </xdr:twoCellAnchor>
  <xdr:twoCellAnchor>
    <xdr:from>
      <xdr:col>0</xdr:col>
      <xdr:colOff>0</xdr:colOff>
      <xdr:row>30</xdr:row>
      <xdr:rowOff>172720</xdr:rowOff>
    </xdr:from>
    <xdr:to>
      <xdr:col>0</xdr:col>
      <xdr:colOff>279400</xdr:colOff>
      <xdr:row>31</xdr:row>
      <xdr:rowOff>154940</xdr:rowOff>
    </xdr:to>
    <xdr:sp macro="" textlink="">
      <xdr:nvSpPr>
        <xdr:cNvPr id="1919" name="pick_69">
          <a:extLst>
            <a:ext uri="{FF2B5EF4-FFF2-40B4-BE49-F238E27FC236}">
              <a16:creationId xmlns:a16="http://schemas.microsoft.com/office/drawing/2014/main" id="{B81915FA-E8E5-3292-C959-7ADF182558FA}"/>
            </a:ext>
          </a:extLst>
        </xdr:cNvPr>
        <xdr:cNvSpPr/>
      </xdr:nvSpPr>
      <xdr:spPr>
        <a:xfrm>
          <a:off x="0" y="65735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1</a:t>
          </a:r>
        </a:p>
      </xdr:txBody>
    </xdr:sp>
    <xdr:clientData/>
  </xdr:twoCellAnchor>
  <xdr:twoCellAnchor>
    <xdr:from>
      <xdr:col>0</xdr:col>
      <xdr:colOff>279400</xdr:colOff>
      <xdr:row>30</xdr:row>
      <xdr:rowOff>172720</xdr:rowOff>
    </xdr:from>
    <xdr:to>
      <xdr:col>1</xdr:col>
      <xdr:colOff>246380</xdr:colOff>
      <xdr:row>31</xdr:row>
      <xdr:rowOff>154940</xdr:rowOff>
    </xdr:to>
    <xdr:sp macro="" textlink="">
      <xdr:nvSpPr>
        <xdr:cNvPr id="1920" name="pick_70">
          <a:extLst>
            <a:ext uri="{FF2B5EF4-FFF2-40B4-BE49-F238E27FC236}">
              <a16:creationId xmlns:a16="http://schemas.microsoft.com/office/drawing/2014/main" id="{E46242DD-562F-CFD5-4273-D24D18399C42}"/>
            </a:ext>
          </a:extLst>
        </xdr:cNvPr>
        <xdr:cNvSpPr/>
      </xdr:nvSpPr>
      <xdr:spPr>
        <a:xfrm>
          <a:off x="279400" y="65735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30</xdr:row>
      <xdr:rowOff>172720</xdr:rowOff>
    </xdr:from>
    <xdr:to>
      <xdr:col>1</xdr:col>
      <xdr:colOff>678180</xdr:colOff>
      <xdr:row>31</xdr:row>
      <xdr:rowOff>154940</xdr:rowOff>
    </xdr:to>
    <xdr:sp macro="" textlink="">
      <xdr:nvSpPr>
        <xdr:cNvPr id="1921" name="pick_71">
          <a:extLst>
            <a:ext uri="{FF2B5EF4-FFF2-40B4-BE49-F238E27FC236}">
              <a16:creationId xmlns:a16="http://schemas.microsoft.com/office/drawing/2014/main" id="{8BB6F3A6-8F1C-037F-42A0-DA1802025DB3}"/>
            </a:ext>
          </a:extLst>
        </xdr:cNvPr>
        <xdr:cNvSpPr/>
      </xdr:nvSpPr>
      <xdr:spPr>
        <a:xfrm>
          <a:off x="863600" y="6573520"/>
          <a:ext cx="431800" cy="165100"/>
        </a:xfrm>
        <a:prstGeom prst="rect">
          <a:avLst/>
        </a:prstGeom>
        <a:solidFill>
          <a:srgbClr val="BBD4EA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8'</a:t>
          </a:r>
        </a:p>
      </xdr:txBody>
    </xdr:sp>
    <xdr:clientData/>
  </xdr:twoCellAnchor>
  <xdr:twoCellAnchor>
    <xdr:from>
      <xdr:col>1</xdr:col>
      <xdr:colOff>678180</xdr:colOff>
      <xdr:row>30</xdr:row>
      <xdr:rowOff>172720</xdr:rowOff>
    </xdr:from>
    <xdr:to>
      <xdr:col>2</xdr:col>
      <xdr:colOff>254000</xdr:colOff>
      <xdr:row>31</xdr:row>
      <xdr:rowOff>154940</xdr:rowOff>
    </xdr:to>
    <xdr:sp macro="" textlink="">
      <xdr:nvSpPr>
        <xdr:cNvPr id="1922" name="pick_72">
          <a:extLst>
            <a:ext uri="{FF2B5EF4-FFF2-40B4-BE49-F238E27FC236}">
              <a16:creationId xmlns:a16="http://schemas.microsoft.com/office/drawing/2014/main" id="{E7CC2DBA-D9E7-79A2-4062-CFDFB2979B01}"/>
            </a:ext>
          </a:extLst>
        </xdr:cNvPr>
        <xdr:cNvSpPr/>
      </xdr:nvSpPr>
      <xdr:spPr>
        <a:xfrm>
          <a:off x="1295400" y="65735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30</xdr:row>
      <xdr:rowOff>172720</xdr:rowOff>
    </xdr:from>
    <xdr:to>
      <xdr:col>3</xdr:col>
      <xdr:colOff>7620</xdr:colOff>
      <xdr:row>31</xdr:row>
      <xdr:rowOff>154940</xdr:rowOff>
    </xdr:to>
    <xdr:sp macro="" textlink="">
      <xdr:nvSpPr>
        <xdr:cNvPr id="1923" name="pick_73">
          <a:extLst>
            <a:ext uri="{FF2B5EF4-FFF2-40B4-BE49-F238E27FC236}">
              <a16:creationId xmlns:a16="http://schemas.microsoft.com/office/drawing/2014/main" id="{A8671E96-0A3C-5CAA-2008-243042B4F64F}"/>
            </a:ext>
          </a:extLst>
        </xdr:cNvPr>
        <xdr:cNvSpPr/>
      </xdr:nvSpPr>
      <xdr:spPr>
        <a:xfrm>
          <a:off x="1625600" y="65735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7</a:t>
          </a:r>
        </a:p>
      </xdr:txBody>
    </xdr:sp>
    <xdr:clientData/>
  </xdr:twoCellAnchor>
  <xdr:twoCellAnchor>
    <xdr:from>
      <xdr:col>0</xdr:col>
      <xdr:colOff>0</xdr:colOff>
      <xdr:row>31</xdr:row>
      <xdr:rowOff>154940</xdr:rowOff>
    </xdr:from>
    <xdr:to>
      <xdr:col>0</xdr:col>
      <xdr:colOff>279400</xdr:colOff>
      <xdr:row>32</xdr:row>
      <xdr:rowOff>137160</xdr:rowOff>
    </xdr:to>
    <xdr:sp macro="" textlink="">
      <xdr:nvSpPr>
        <xdr:cNvPr id="1924" name="pick_74">
          <a:extLst>
            <a:ext uri="{FF2B5EF4-FFF2-40B4-BE49-F238E27FC236}">
              <a16:creationId xmlns:a16="http://schemas.microsoft.com/office/drawing/2014/main" id="{EB19F6DB-3CCB-1328-2E3B-02566DDF5ADE}"/>
            </a:ext>
          </a:extLst>
        </xdr:cNvPr>
        <xdr:cNvSpPr/>
      </xdr:nvSpPr>
      <xdr:spPr>
        <a:xfrm>
          <a:off x="0" y="67386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2</a:t>
          </a:r>
        </a:p>
      </xdr:txBody>
    </xdr:sp>
    <xdr:clientData/>
  </xdr:twoCellAnchor>
  <xdr:twoCellAnchor>
    <xdr:from>
      <xdr:col>0</xdr:col>
      <xdr:colOff>279400</xdr:colOff>
      <xdr:row>31</xdr:row>
      <xdr:rowOff>154940</xdr:rowOff>
    </xdr:from>
    <xdr:to>
      <xdr:col>1</xdr:col>
      <xdr:colOff>246380</xdr:colOff>
      <xdr:row>32</xdr:row>
      <xdr:rowOff>137160</xdr:rowOff>
    </xdr:to>
    <xdr:sp macro="" textlink="">
      <xdr:nvSpPr>
        <xdr:cNvPr id="1925" name="pick_75">
          <a:extLst>
            <a:ext uri="{FF2B5EF4-FFF2-40B4-BE49-F238E27FC236}">
              <a16:creationId xmlns:a16="http://schemas.microsoft.com/office/drawing/2014/main" id="{4E69CB22-0AAE-E6BF-4EFD-6908D951705C}"/>
            </a:ext>
          </a:extLst>
        </xdr:cNvPr>
        <xdr:cNvSpPr/>
      </xdr:nvSpPr>
      <xdr:spPr>
        <a:xfrm>
          <a:off x="279400" y="67386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31</xdr:row>
      <xdr:rowOff>154940</xdr:rowOff>
    </xdr:from>
    <xdr:to>
      <xdr:col>1</xdr:col>
      <xdr:colOff>678180</xdr:colOff>
      <xdr:row>32</xdr:row>
      <xdr:rowOff>137160</xdr:rowOff>
    </xdr:to>
    <xdr:sp macro="" textlink="">
      <xdr:nvSpPr>
        <xdr:cNvPr id="1926" name="pick_76">
          <a:extLst>
            <a:ext uri="{FF2B5EF4-FFF2-40B4-BE49-F238E27FC236}">
              <a16:creationId xmlns:a16="http://schemas.microsoft.com/office/drawing/2014/main" id="{FC74D4DB-C2E3-2DC9-F68C-A00A9AF9CDDC}"/>
            </a:ext>
          </a:extLst>
        </xdr:cNvPr>
        <xdr:cNvSpPr/>
      </xdr:nvSpPr>
      <xdr:spPr>
        <a:xfrm>
          <a:off x="863600" y="6738620"/>
          <a:ext cx="431800" cy="165100"/>
        </a:xfrm>
        <a:prstGeom prst="rect">
          <a:avLst/>
        </a:prstGeom>
        <a:solidFill>
          <a:srgbClr val="C2E5C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10'</a:t>
          </a:r>
        </a:p>
      </xdr:txBody>
    </xdr:sp>
    <xdr:clientData/>
  </xdr:twoCellAnchor>
  <xdr:twoCellAnchor>
    <xdr:from>
      <xdr:col>1</xdr:col>
      <xdr:colOff>678180</xdr:colOff>
      <xdr:row>31</xdr:row>
      <xdr:rowOff>154940</xdr:rowOff>
    </xdr:from>
    <xdr:to>
      <xdr:col>2</xdr:col>
      <xdr:colOff>254000</xdr:colOff>
      <xdr:row>32</xdr:row>
      <xdr:rowOff>137160</xdr:rowOff>
    </xdr:to>
    <xdr:sp macro="" textlink="">
      <xdr:nvSpPr>
        <xdr:cNvPr id="1927" name="pick_77">
          <a:extLst>
            <a:ext uri="{FF2B5EF4-FFF2-40B4-BE49-F238E27FC236}">
              <a16:creationId xmlns:a16="http://schemas.microsoft.com/office/drawing/2014/main" id="{450A65F1-2A33-B29C-83C9-10A735E5FA9D}"/>
            </a:ext>
          </a:extLst>
        </xdr:cNvPr>
        <xdr:cNvSpPr/>
      </xdr:nvSpPr>
      <xdr:spPr>
        <a:xfrm>
          <a:off x="1295400" y="67386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31</xdr:row>
      <xdr:rowOff>154940</xdr:rowOff>
    </xdr:from>
    <xdr:to>
      <xdr:col>3</xdr:col>
      <xdr:colOff>7620</xdr:colOff>
      <xdr:row>32</xdr:row>
      <xdr:rowOff>137160</xdr:rowOff>
    </xdr:to>
    <xdr:sp macro="" textlink="">
      <xdr:nvSpPr>
        <xdr:cNvPr id="1928" name="pick_78">
          <a:extLst>
            <a:ext uri="{FF2B5EF4-FFF2-40B4-BE49-F238E27FC236}">
              <a16:creationId xmlns:a16="http://schemas.microsoft.com/office/drawing/2014/main" id="{01CE4AD3-4A69-17EF-32AE-6636E409BA4A}"/>
            </a:ext>
          </a:extLst>
        </xdr:cNvPr>
        <xdr:cNvSpPr/>
      </xdr:nvSpPr>
      <xdr:spPr>
        <a:xfrm>
          <a:off x="1625600" y="67386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  <xdr:twoCellAnchor>
    <xdr:from>
      <xdr:col>0</xdr:col>
      <xdr:colOff>0</xdr:colOff>
      <xdr:row>32</xdr:row>
      <xdr:rowOff>137160</xdr:rowOff>
    </xdr:from>
    <xdr:to>
      <xdr:col>0</xdr:col>
      <xdr:colOff>279400</xdr:colOff>
      <xdr:row>33</xdr:row>
      <xdr:rowOff>119380</xdr:rowOff>
    </xdr:to>
    <xdr:sp macro="" textlink="">
      <xdr:nvSpPr>
        <xdr:cNvPr id="1929" name="pick_79">
          <a:extLst>
            <a:ext uri="{FF2B5EF4-FFF2-40B4-BE49-F238E27FC236}">
              <a16:creationId xmlns:a16="http://schemas.microsoft.com/office/drawing/2014/main" id="{75FF5CCF-E135-4C01-84DA-9E67568250F9}"/>
            </a:ext>
          </a:extLst>
        </xdr:cNvPr>
        <xdr:cNvSpPr/>
      </xdr:nvSpPr>
      <xdr:spPr>
        <a:xfrm>
          <a:off x="0" y="69037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3</a:t>
          </a:r>
        </a:p>
      </xdr:txBody>
    </xdr:sp>
    <xdr:clientData/>
  </xdr:twoCellAnchor>
  <xdr:twoCellAnchor>
    <xdr:from>
      <xdr:col>0</xdr:col>
      <xdr:colOff>279400</xdr:colOff>
      <xdr:row>32</xdr:row>
      <xdr:rowOff>137160</xdr:rowOff>
    </xdr:from>
    <xdr:to>
      <xdr:col>1</xdr:col>
      <xdr:colOff>246380</xdr:colOff>
      <xdr:row>33</xdr:row>
      <xdr:rowOff>119380</xdr:rowOff>
    </xdr:to>
    <xdr:sp macro="" textlink="">
      <xdr:nvSpPr>
        <xdr:cNvPr id="1930" name="pick_80">
          <a:extLst>
            <a:ext uri="{FF2B5EF4-FFF2-40B4-BE49-F238E27FC236}">
              <a16:creationId xmlns:a16="http://schemas.microsoft.com/office/drawing/2014/main" id="{30C10D05-6C9D-6583-FA05-F6F1350BFA49}"/>
            </a:ext>
          </a:extLst>
        </xdr:cNvPr>
        <xdr:cNvSpPr/>
      </xdr:nvSpPr>
      <xdr:spPr>
        <a:xfrm>
          <a:off x="279400" y="69037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32</xdr:row>
      <xdr:rowOff>137160</xdr:rowOff>
    </xdr:from>
    <xdr:to>
      <xdr:col>1</xdr:col>
      <xdr:colOff>678180</xdr:colOff>
      <xdr:row>33</xdr:row>
      <xdr:rowOff>119380</xdr:rowOff>
    </xdr:to>
    <xdr:sp macro="" textlink="">
      <xdr:nvSpPr>
        <xdr:cNvPr id="1931" name="pick_81">
          <a:extLst>
            <a:ext uri="{FF2B5EF4-FFF2-40B4-BE49-F238E27FC236}">
              <a16:creationId xmlns:a16="http://schemas.microsoft.com/office/drawing/2014/main" id="{A2F7055A-5861-8BEB-9BC5-C57103967116}"/>
            </a:ext>
          </a:extLst>
        </xdr:cNvPr>
        <xdr:cNvSpPr/>
      </xdr:nvSpPr>
      <xdr:spPr>
        <a:xfrm>
          <a:off x="863600" y="6903720"/>
          <a:ext cx="431800" cy="165100"/>
        </a:xfrm>
        <a:prstGeom prst="rect">
          <a:avLst/>
        </a:prstGeom>
        <a:solidFill>
          <a:srgbClr val="FBE7B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12'</a:t>
          </a:r>
        </a:p>
      </xdr:txBody>
    </xdr:sp>
    <xdr:clientData/>
  </xdr:twoCellAnchor>
  <xdr:twoCellAnchor>
    <xdr:from>
      <xdr:col>1</xdr:col>
      <xdr:colOff>678180</xdr:colOff>
      <xdr:row>32</xdr:row>
      <xdr:rowOff>137160</xdr:rowOff>
    </xdr:from>
    <xdr:to>
      <xdr:col>2</xdr:col>
      <xdr:colOff>254000</xdr:colOff>
      <xdr:row>33</xdr:row>
      <xdr:rowOff>119380</xdr:rowOff>
    </xdr:to>
    <xdr:sp macro="" textlink="">
      <xdr:nvSpPr>
        <xdr:cNvPr id="1932" name="pick_82">
          <a:extLst>
            <a:ext uri="{FF2B5EF4-FFF2-40B4-BE49-F238E27FC236}">
              <a16:creationId xmlns:a16="http://schemas.microsoft.com/office/drawing/2014/main" id="{31424C4B-4BBB-4705-160E-84156F3BBACC}"/>
            </a:ext>
          </a:extLst>
        </xdr:cNvPr>
        <xdr:cNvSpPr/>
      </xdr:nvSpPr>
      <xdr:spPr>
        <a:xfrm>
          <a:off x="1295400" y="69037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32</xdr:row>
      <xdr:rowOff>137160</xdr:rowOff>
    </xdr:from>
    <xdr:to>
      <xdr:col>3</xdr:col>
      <xdr:colOff>7620</xdr:colOff>
      <xdr:row>33</xdr:row>
      <xdr:rowOff>119380</xdr:rowOff>
    </xdr:to>
    <xdr:sp macro="" textlink="">
      <xdr:nvSpPr>
        <xdr:cNvPr id="1933" name="pick_83">
          <a:extLst>
            <a:ext uri="{FF2B5EF4-FFF2-40B4-BE49-F238E27FC236}">
              <a16:creationId xmlns:a16="http://schemas.microsoft.com/office/drawing/2014/main" id="{19E73B8A-F238-AE2A-9B05-747BA336825F}"/>
            </a:ext>
          </a:extLst>
        </xdr:cNvPr>
        <xdr:cNvSpPr/>
      </xdr:nvSpPr>
      <xdr:spPr>
        <a:xfrm>
          <a:off x="1625600" y="69037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10</a:t>
          </a:r>
        </a:p>
      </xdr:txBody>
    </xdr:sp>
    <xdr:clientData/>
  </xdr:twoCellAnchor>
  <xdr:twoCellAnchor>
    <xdr:from>
      <xdr:col>0</xdr:col>
      <xdr:colOff>0</xdr:colOff>
      <xdr:row>33</xdr:row>
      <xdr:rowOff>119380</xdr:rowOff>
    </xdr:from>
    <xdr:to>
      <xdr:col>0</xdr:col>
      <xdr:colOff>279400</xdr:colOff>
      <xdr:row>34</xdr:row>
      <xdr:rowOff>101600</xdr:rowOff>
    </xdr:to>
    <xdr:sp macro="" textlink="">
      <xdr:nvSpPr>
        <xdr:cNvPr id="1934" name="pick_84">
          <a:extLst>
            <a:ext uri="{FF2B5EF4-FFF2-40B4-BE49-F238E27FC236}">
              <a16:creationId xmlns:a16="http://schemas.microsoft.com/office/drawing/2014/main" id="{21E073A1-81D5-A77E-D85A-33A4E15284CA}"/>
            </a:ext>
          </a:extLst>
        </xdr:cNvPr>
        <xdr:cNvSpPr/>
      </xdr:nvSpPr>
      <xdr:spPr>
        <a:xfrm>
          <a:off x="0" y="70688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4</a:t>
          </a:r>
        </a:p>
      </xdr:txBody>
    </xdr:sp>
    <xdr:clientData/>
  </xdr:twoCellAnchor>
  <xdr:twoCellAnchor>
    <xdr:from>
      <xdr:col>0</xdr:col>
      <xdr:colOff>279400</xdr:colOff>
      <xdr:row>33</xdr:row>
      <xdr:rowOff>119380</xdr:rowOff>
    </xdr:from>
    <xdr:to>
      <xdr:col>1</xdr:col>
      <xdr:colOff>246380</xdr:colOff>
      <xdr:row>34</xdr:row>
      <xdr:rowOff>101600</xdr:rowOff>
    </xdr:to>
    <xdr:sp macro="" textlink="">
      <xdr:nvSpPr>
        <xdr:cNvPr id="1935" name="pick_85">
          <a:extLst>
            <a:ext uri="{FF2B5EF4-FFF2-40B4-BE49-F238E27FC236}">
              <a16:creationId xmlns:a16="http://schemas.microsoft.com/office/drawing/2014/main" id="{DB8DD585-D0C8-1556-36DE-203F05135F2C}"/>
            </a:ext>
          </a:extLst>
        </xdr:cNvPr>
        <xdr:cNvSpPr/>
      </xdr:nvSpPr>
      <xdr:spPr>
        <a:xfrm>
          <a:off x="279400" y="70688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33</xdr:row>
      <xdr:rowOff>119380</xdr:rowOff>
    </xdr:from>
    <xdr:to>
      <xdr:col>1</xdr:col>
      <xdr:colOff>678180</xdr:colOff>
      <xdr:row>34</xdr:row>
      <xdr:rowOff>101600</xdr:rowOff>
    </xdr:to>
    <xdr:sp macro="" textlink="">
      <xdr:nvSpPr>
        <xdr:cNvPr id="1936" name="pick_86">
          <a:extLst>
            <a:ext uri="{FF2B5EF4-FFF2-40B4-BE49-F238E27FC236}">
              <a16:creationId xmlns:a16="http://schemas.microsoft.com/office/drawing/2014/main" id="{FBEBFAC9-C746-4C14-9F19-FAF6FB3222E0}"/>
            </a:ext>
          </a:extLst>
        </xdr:cNvPr>
        <xdr:cNvSpPr/>
      </xdr:nvSpPr>
      <xdr:spPr>
        <a:xfrm>
          <a:off x="863600" y="7068820"/>
          <a:ext cx="431800" cy="165100"/>
        </a:xfrm>
        <a:prstGeom prst="rect">
          <a:avLst/>
        </a:prstGeom>
        <a:solidFill>
          <a:srgbClr val="E5CDEE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14'</a:t>
          </a:r>
        </a:p>
      </xdr:txBody>
    </xdr:sp>
    <xdr:clientData/>
  </xdr:twoCellAnchor>
  <xdr:twoCellAnchor>
    <xdr:from>
      <xdr:col>1</xdr:col>
      <xdr:colOff>678180</xdr:colOff>
      <xdr:row>33</xdr:row>
      <xdr:rowOff>119380</xdr:rowOff>
    </xdr:from>
    <xdr:to>
      <xdr:col>2</xdr:col>
      <xdr:colOff>254000</xdr:colOff>
      <xdr:row>34</xdr:row>
      <xdr:rowOff>101600</xdr:rowOff>
    </xdr:to>
    <xdr:sp macro="" textlink="">
      <xdr:nvSpPr>
        <xdr:cNvPr id="1937" name="pick_87">
          <a:extLst>
            <a:ext uri="{FF2B5EF4-FFF2-40B4-BE49-F238E27FC236}">
              <a16:creationId xmlns:a16="http://schemas.microsoft.com/office/drawing/2014/main" id="{96000C22-B4CD-1381-EBC5-9EDA4ADBF9A0}"/>
            </a:ext>
          </a:extLst>
        </xdr:cNvPr>
        <xdr:cNvSpPr/>
      </xdr:nvSpPr>
      <xdr:spPr>
        <a:xfrm>
          <a:off x="1295400" y="70688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33</xdr:row>
      <xdr:rowOff>119380</xdr:rowOff>
    </xdr:from>
    <xdr:to>
      <xdr:col>3</xdr:col>
      <xdr:colOff>7620</xdr:colOff>
      <xdr:row>34</xdr:row>
      <xdr:rowOff>101600</xdr:rowOff>
    </xdr:to>
    <xdr:sp macro="" textlink="">
      <xdr:nvSpPr>
        <xdr:cNvPr id="1938" name="pick_88">
          <a:extLst>
            <a:ext uri="{FF2B5EF4-FFF2-40B4-BE49-F238E27FC236}">
              <a16:creationId xmlns:a16="http://schemas.microsoft.com/office/drawing/2014/main" id="{C53AD1ED-4A82-4CE8-570A-9CF5C8B4F2E6}"/>
            </a:ext>
          </a:extLst>
        </xdr:cNvPr>
        <xdr:cNvSpPr/>
      </xdr:nvSpPr>
      <xdr:spPr>
        <a:xfrm>
          <a:off x="1625600" y="70688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11</a:t>
          </a:r>
        </a:p>
      </xdr:txBody>
    </xdr:sp>
    <xdr:clientData/>
  </xdr:twoCellAnchor>
  <xdr:twoCellAnchor>
    <xdr:from>
      <xdr:col>0</xdr:col>
      <xdr:colOff>0</xdr:colOff>
      <xdr:row>34</xdr:row>
      <xdr:rowOff>101600</xdr:rowOff>
    </xdr:from>
    <xdr:to>
      <xdr:col>0</xdr:col>
      <xdr:colOff>279400</xdr:colOff>
      <xdr:row>35</xdr:row>
      <xdr:rowOff>83820</xdr:rowOff>
    </xdr:to>
    <xdr:sp macro="" textlink="">
      <xdr:nvSpPr>
        <xdr:cNvPr id="1939" name="pick_89">
          <a:extLst>
            <a:ext uri="{FF2B5EF4-FFF2-40B4-BE49-F238E27FC236}">
              <a16:creationId xmlns:a16="http://schemas.microsoft.com/office/drawing/2014/main" id="{C58504A0-241F-752C-79F7-1E1F7CC76308}"/>
            </a:ext>
          </a:extLst>
        </xdr:cNvPr>
        <xdr:cNvSpPr/>
      </xdr:nvSpPr>
      <xdr:spPr>
        <a:xfrm>
          <a:off x="0" y="72339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5</a:t>
          </a:r>
        </a:p>
      </xdr:txBody>
    </xdr:sp>
    <xdr:clientData/>
  </xdr:twoCellAnchor>
  <xdr:twoCellAnchor>
    <xdr:from>
      <xdr:col>0</xdr:col>
      <xdr:colOff>279400</xdr:colOff>
      <xdr:row>34</xdr:row>
      <xdr:rowOff>101600</xdr:rowOff>
    </xdr:from>
    <xdr:to>
      <xdr:col>1</xdr:col>
      <xdr:colOff>246380</xdr:colOff>
      <xdr:row>35</xdr:row>
      <xdr:rowOff>83820</xdr:rowOff>
    </xdr:to>
    <xdr:sp macro="" textlink="">
      <xdr:nvSpPr>
        <xdr:cNvPr id="1940" name="pick_90">
          <a:extLst>
            <a:ext uri="{FF2B5EF4-FFF2-40B4-BE49-F238E27FC236}">
              <a16:creationId xmlns:a16="http://schemas.microsoft.com/office/drawing/2014/main" id="{6555351B-FD62-EF33-4D22-6F846F66154E}"/>
            </a:ext>
          </a:extLst>
        </xdr:cNvPr>
        <xdr:cNvSpPr/>
      </xdr:nvSpPr>
      <xdr:spPr>
        <a:xfrm>
          <a:off x="279400" y="72339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34</xdr:row>
      <xdr:rowOff>101600</xdr:rowOff>
    </xdr:from>
    <xdr:to>
      <xdr:col>1</xdr:col>
      <xdr:colOff>678180</xdr:colOff>
      <xdr:row>35</xdr:row>
      <xdr:rowOff>83820</xdr:rowOff>
    </xdr:to>
    <xdr:sp macro="" textlink="">
      <xdr:nvSpPr>
        <xdr:cNvPr id="1941" name="pick_91">
          <a:extLst>
            <a:ext uri="{FF2B5EF4-FFF2-40B4-BE49-F238E27FC236}">
              <a16:creationId xmlns:a16="http://schemas.microsoft.com/office/drawing/2014/main" id="{BB583204-3143-5633-4F7B-7304A4B94A48}"/>
            </a:ext>
          </a:extLst>
        </xdr:cNvPr>
        <xdr:cNvSpPr/>
      </xdr:nvSpPr>
      <xdr:spPr>
        <a:xfrm>
          <a:off x="863600" y="7233920"/>
          <a:ext cx="431800" cy="165100"/>
        </a:xfrm>
        <a:prstGeom prst="rect">
          <a:avLst/>
        </a:prstGeom>
        <a:solidFill>
          <a:srgbClr val="FAC4BC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16'</a:t>
          </a:r>
        </a:p>
      </xdr:txBody>
    </xdr:sp>
    <xdr:clientData/>
  </xdr:twoCellAnchor>
  <xdr:twoCellAnchor>
    <xdr:from>
      <xdr:col>1</xdr:col>
      <xdr:colOff>678180</xdr:colOff>
      <xdr:row>34</xdr:row>
      <xdr:rowOff>101600</xdr:rowOff>
    </xdr:from>
    <xdr:to>
      <xdr:col>2</xdr:col>
      <xdr:colOff>254000</xdr:colOff>
      <xdr:row>35</xdr:row>
      <xdr:rowOff>83820</xdr:rowOff>
    </xdr:to>
    <xdr:sp macro="" textlink="">
      <xdr:nvSpPr>
        <xdr:cNvPr id="1942" name="pick_92">
          <a:extLst>
            <a:ext uri="{FF2B5EF4-FFF2-40B4-BE49-F238E27FC236}">
              <a16:creationId xmlns:a16="http://schemas.microsoft.com/office/drawing/2014/main" id="{55AB986B-A5E5-E7E2-0B2D-3BFC13CDC94A}"/>
            </a:ext>
          </a:extLst>
        </xdr:cNvPr>
        <xdr:cNvSpPr/>
      </xdr:nvSpPr>
      <xdr:spPr>
        <a:xfrm>
          <a:off x="1295400" y="72339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34</xdr:row>
      <xdr:rowOff>101600</xdr:rowOff>
    </xdr:from>
    <xdr:to>
      <xdr:col>3</xdr:col>
      <xdr:colOff>7620</xdr:colOff>
      <xdr:row>35</xdr:row>
      <xdr:rowOff>83820</xdr:rowOff>
    </xdr:to>
    <xdr:sp macro="" textlink="">
      <xdr:nvSpPr>
        <xdr:cNvPr id="1943" name="pick_93">
          <a:extLst>
            <a:ext uri="{FF2B5EF4-FFF2-40B4-BE49-F238E27FC236}">
              <a16:creationId xmlns:a16="http://schemas.microsoft.com/office/drawing/2014/main" id="{5332FA20-B208-1F6E-5F85-38FA2245BADD}"/>
            </a:ext>
          </a:extLst>
        </xdr:cNvPr>
        <xdr:cNvSpPr/>
      </xdr:nvSpPr>
      <xdr:spPr>
        <a:xfrm>
          <a:off x="1625600" y="72339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zoomScaleNormal="100" workbookViewId="0">
      <selection sqref="A1:N47"/>
    </sheetView>
  </sheetViews>
  <sheetFormatPr defaultColWidth="8.6640625" defaultRowHeight="14.4" x14ac:dyDescent="0.3"/>
  <cols>
    <col min="1" max="1" width="7.77734375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104" t="s">
        <v>0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</row>
    <row r="2" spans="1:14" x14ac:dyDescent="0.3">
      <c r="A2" s="99" t="s">
        <v>1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4" spans="1:14" x14ac:dyDescent="0.3">
      <c r="A4" s="98" t="s">
        <v>2</v>
      </c>
      <c r="B4" s="98"/>
      <c r="C4" s="98"/>
      <c r="E4" s="105" t="s">
        <v>417</v>
      </c>
      <c r="F4" s="106"/>
      <c r="G4" s="106"/>
      <c r="H4" s="107"/>
    </row>
    <row r="5" spans="1:14" x14ac:dyDescent="0.3">
      <c r="A5" s="2" t="s">
        <v>492</v>
      </c>
      <c r="C5" s="3" t="s">
        <v>493</v>
      </c>
      <c r="E5" s="108" t="s">
        <v>418</v>
      </c>
      <c r="F5" s="109"/>
      <c r="G5" s="110" t="s">
        <v>17</v>
      </c>
      <c r="H5" s="111"/>
    </row>
    <row r="6" spans="1:14" x14ac:dyDescent="0.3">
      <c r="A6" s="4" t="s">
        <v>3</v>
      </c>
      <c r="C6" s="36">
        <v>72</v>
      </c>
      <c r="E6" s="108" t="s">
        <v>419</v>
      </c>
      <c r="F6" s="109"/>
      <c r="G6" s="110">
        <v>2</v>
      </c>
      <c r="H6" s="111"/>
    </row>
    <row r="7" spans="1:14" x14ac:dyDescent="0.3">
      <c r="A7" s="35" t="s">
        <v>415</v>
      </c>
      <c r="C7" s="37" t="s">
        <v>416</v>
      </c>
      <c r="E7" s="112" t="s">
        <v>420</v>
      </c>
      <c r="F7" s="113"/>
      <c r="G7" s="113"/>
      <c r="H7" s="114"/>
    </row>
    <row r="8" spans="1:14" x14ac:dyDescent="0.3">
      <c r="A8" s="98" t="s">
        <v>4</v>
      </c>
      <c r="B8" s="98"/>
      <c r="C8" s="98"/>
      <c r="D8" s="98"/>
      <c r="E8" s="98"/>
      <c r="F8" s="98"/>
      <c r="G8" s="98"/>
      <c r="H8" s="98"/>
    </row>
    <row r="9" spans="1:14" x14ac:dyDescent="0.3">
      <c r="A9" s="95" t="s">
        <v>494</v>
      </c>
      <c r="B9" s="5" t="s">
        <v>6</v>
      </c>
      <c r="C9" s="5" t="s">
        <v>7</v>
      </c>
      <c r="D9" s="5" t="s">
        <v>8</v>
      </c>
      <c r="E9" s="5" t="s">
        <v>9</v>
      </c>
      <c r="F9" s="5" t="s">
        <v>10</v>
      </c>
      <c r="G9" s="5" t="s">
        <v>11</v>
      </c>
      <c r="H9" s="5" t="s">
        <v>12</v>
      </c>
      <c r="J9" s="98" t="s">
        <v>13</v>
      </c>
      <c r="K9" s="98"/>
      <c r="L9" s="98"/>
      <c r="M9" s="98"/>
    </row>
    <row r="10" spans="1:14" x14ac:dyDescent="0.3">
      <c r="A10" s="6"/>
      <c r="B10" s="38" t="s">
        <v>17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100" t="s">
        <v>16</v>
      </c>
      <c r="K10" s="100"/>
      <c r="L10" s="101">
        <f>F30</f>
        <v>720</v>
      </c>
      <c r="M10" s="101"/>
    </row>
    <row r="11" spans="1:14" x14ac:dyDescent="0.3">
      <c r="A11" s="6"/>
      <c r="B11" s="38" t="s">
        <v>17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100" t="s">
        <v>18</v>
      </c>
      <c r="K11" s="100"/>
      <c r="L11" s="101" t="e">
        <f>C5*C6</f>
        <v>#VALUE!</v>
      </c>
      <c r="M11" s="101"/>
    </row>
    <row r="12" spans="1:14" x14ac:dyDescent="0.3">
      <c r="A12" s="6"/>
      <c r="B12" s="38" t="s">
        <v>17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100" t="s">
        <v>19</v>
      </c>
      <c r="K12" s="100"/>
      <c r="L12" s="101" t="e">
        <f>F30-C5*C6</f>
        <v>#VALUE!</v>
      </c>
      <c r="M12" s="101"/>
    </row>
    <row r="13" spans="1:14" x14ac:dyDescent="0.3">
      <c r="A13" s="6"/>
      <c r="B13" s="38" t="s">
        <v>17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100" t="s">
        <v>22</v>
      </c>
      <c r="K13" s="100"/>
      <c r="L13" s="101">
        <f>IF(F30=0,0,ROUNDUP(F30/C6,0))</f>
        <v>10</v>
      </c>
      <c r="M13" s="101"/>
    </row>
    <row r="14" spans="1:14" x14ac:dyDescent="0.3">
      <c r="A14" s="6"/>
      <c r="B14" s="38" t="s">
        <v>17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100" t="s">
        <v>24</v>
      </c>
      <c r="K14" s="100"/>
      <c r="L14" s="101">
        <f>COUNTIF($L$34:$L$47,"OK 72")</f>
        <v>10</v>
      </c>
      <c r="M14" s="101"/>
    </row>
    <row r="15" spans="1:14" x14ac:dyDescent="0.3">
      <c r="A15" s="6"/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100" t="s">
        <v>25</v>
      </c>
      <c r="K15" s="100"/>
      <c r="L15" s="101">
        <f>COUNTA($B$34:$J$47)</f>
        <v>58</v>
      </c>
      <c r="M15" s="101"/>
    </row>
    <row r="16" spans="1:14" x14ac:dyDescent="0.3">
      <c r="A16" s="6"/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100" t="s">
        <v>26</v>
      </c>
      <c r="K16" s="100"/>
      <c r="L16" s="101">
        <f>E30-COUNTA($B$34:$J$47)</f>
        <v>0</v>
      </c>
      <c r="M16" s="101"/>
    </row>
    <row r="17" spans="1:13" x14ac:dyDescent="0.3">
      <c r="A17" s="6"/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102" t="s">
        <v>27</v>
      </c>
      <c r="K17" s="102"/>
      <c r="L17" s="103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INCOMPLETE — keep filling</v>
      </c>
      <c r="M17" s="103"/>
    </row>
    <row r="18" spans="1:13" x14ac:dyDescent="0.3">
      <c r="A18" s="6"/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/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/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/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/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/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/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/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/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/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/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/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103" t="s">
        <v>28</v>
      </c>
      <c r="B30" s="103"/>
      <c r="C30" s="103"/>
      <c r="D30" s="103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98" t="s">
        <v>29</v>
      </c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</row>
    <row r="33" spans="1:12" x14ac:dyDescent="0.3">
      <c r="A33" s="5" t="s">
        <v>30</v>
      </c>
      <c r="B33" s="5" t="s">
        <v>31</v>
      </c>
      <c r="C33" s="5" t="s">
        <v>32</v>
      </c>
      <c r="D33" s="5" t="s">
        <v>33</v>
      </c>
      <c r="E33" s="5" t="s">
        <v>34</v>
      </c>
      <c r="F33" s="5" t="s">
        <v>35</v>
      </c>
      <c r="G33" s="5" t="s">
        <v>36</v>
      </c>
      <c r="H33" s="5" t="s">
        <v>37</v>
      </c>
      <c r="I33" s="5" t="s">
        <v>38</v>
      </c>
      <c r="J33" s="5" t="s">
        <v>39</v>
      </c>
      <c r="K33" s="5" t="s">
        <v>40</v>
      </c>
      <c r="L33" s="5" t="s">
        <v>41</v>
      </c>
    </row>
    <row r="34" spans="1:12" x14ac:dyDescent="0.3">
      <c r="A34" s="10" t="s">
        <v>42</v>
      </c>
      <c r="B34" s="11" t="s">
        <v>46</v>
      </c>
      <c r="C34" s="11" t="s">
        <v>46</v>
      </c>
      <c r="D34" s="11" t="s">
        <v>46</v>
      </c>
      <c r="E34" s="11" t="s">
        <v>46</v>
      </c>
      <c r="F34" s="11" t="s">
        <v>411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44</v>
      </c>
      <c r="B35" s="11" t="s">
        <v>46</v>
      </c>
      <c r="C35" s="11" t="s">
        <v>46</v>
      </c>
      <c r="D35" s="11" t="s">
        <v>46</v>
      </c>
      <c r="E35" s="11" t="s">
        <v>46</v>
      </c>
      <c r="F35" s="11" t="s">
        <v>411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45</v>
      </c>
      <c r="B36" s="11" t="s">
        <v>46</v>
      </c>
      <c r="C36" s="11" t="s">
        <v>46</v>
      </c>
      <c r="D36" s="11" t="s">
        <v>46</v>
      </c>
      <c r="E36" s="11" t="s">
        <v>46</v>
      </c>
      <c r="F36" s="11" t="s">
        <v>411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47</v>
      </c>
      <c r="B37" s="11" t="s">
        <v>46</v>
      </c>
      <c r="C37" s="11" t="s">
        <v>46</v>
      </c>
      <c r="D37" s="11" t="s">
        <v>46</v>
      </c>
      <c r="E37" s="11" t="s">
        <v>412</v>
      </c>
      <c r="F37" s="11" t="s">
        <v>412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48</v>
      </c>
      <c r="B38" s="11" t="s">
        <v>43</v>
      </c>
      <c r="C38" s="11" t="s">
        <v>43</v>
      </c>
      <c r="D38" s="11" t="s">
        <v>43</v>
      </c>
      <c r="E38" s="11" t="s">
        <v>43</v>
      </c>
      <c r="F38" s="11" t="s">
        <v>411</v>
      </c>
      <c r="G38" s="11" t="s">
        <v>411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49</v>
      </c>
      <c r="B39" s="11" t="s">
        <v>43</v>
      </c>
      <c r="C39" s="11" t="s">
        <v>43</v>
      </c>
      <c r="D39" s="11" t="s">
        <v>43</v>
      </c>
      <c r="E39" s="11" t="s">
        <v>43</v>
      </c>
      <c r="F39" s="11" t="s">
        <v>411</v>
      </c>
      <c r="G39" s="11" t="s">
        <v>411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50</v>
      </c>
      <c r="B40" s="11" t="s">
        <v>43</v>
      </c>
      <c r="C40" s="11" t="s">
        <v>43</v>
      </c>
      <c r="D40" s="11" t="s">
        <v>43</v>
      </c>
      <c r="E40" s="11" t="s">
        <v>413</v>
      </c>
      <c r="F40" s="11" t="s">
        <v>413</v>
      </c>
      <c r="G40" s="11" t="s">
        <v>413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51</v>
      </c>
      <c r="B41" s="11" t="s">
        <v>412</v>
      </c>
      <c r="C41" s="11" t="s">
        <v>412</v>
      </c>
      <c r="D41" s="11" t="s">
        <v>412</v>
      </c>
      <c r="E41" s="11" t="s">
        <v>412</v>
      </c>
      <c r="F41" s="11" t="s">
        <v>412</v>
      </c>
      <c r="G41" s="11" t="s">
        <v>412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52</v>
      </c>
      <c r="B42" s="11" t="s">
        <v>412</v>
      </c>
      <c r="C42" s="11" t="s">
        <v>413</v>
      </c>
      <c r="D42" s="11" t="s">
        <v>413</v>
      </c>
      <c r="E42" s="11" t="s">
        <v>413</v>
      </c>
      <c r="F42" s="11" t="s">
        <v>413</v>
      </c>
      <c r="G42" s="11" t="s">
        <v>413</v>
      </c>
      <c r="H42" s="11" t="s">
        <v>413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53</v>
      </c>
      <c r="B43" s="11" t="s">
        <v>412</v>
      </c>
      <c r="C43" s="11" t="s">
        <v>413</v>
      </c>
      <c r="D43" s="11" t="s">
        <v>413</v>
      </c>
      <c r="E43" s="11" t="s">
        <v>413</v>
      </c>
      <c r="F43" s="11" t="s">
        <v>413</v>
      </c>
      <c r="G43" s="11" t="s">
        <v>413</v>
      </c>
      <c r="H43" s="11" t="s">
        <v>413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54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empty</v>
      </c>
    </row>
    <row r="45" spans="1:12" x14ac:dyDescent="0.3">
      <c r="A45" s="10" t="s">
        <v>55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empty</v>
      </c>
    </row>
    <row r="46" spans="1:12" x14ac:dyDescent="0.3">
      <c r="A46" s="10" t="s">
        <v>56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empty</v>
      </c>
    </row>
    <row r="47" spans="1:12" x14ac:dyDescent="0.3">
      <c r="A47" s="10" t="s">
        <v>57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empty</v>
      </c>
    </row>
    <row r="49" spans="1:13" x14ac:dyDescent="0.3">
      <c r="A49" s="12" t="s">
        <v>58</v>
      </c>
      <c r="B49" s="46" t="s">
        <v>59</v>
      </c>
      <c r="C49" s="47" t="s">
        <v>60</v>
      </c>
      <c r="D49" s="48" t="s">
        <v>61</v>
      </c>
      <c r="E49" s="49" t="s">
        <v>62</v>
      </c>
      <c r="F49" s="50" t="s">
        <v>63</v>
      </c>
      <c r="G49" s="51" t="s">
        <v>64</v>
      </c>
      <c r="H49" s="52" t="s">
        <v>65</v>
      </c>
    </row>
    <row r="50" spans="1:13" x14ac:dyDescent="0.3">
      <c r="A50" s="12" t="s">
        <v>66</v>
      </c>
      <c r="B50" s="73" t="s">
        <v>14</v>
      </c>
      <c r="C50" s="74" t="s">
        <v>17</v>
      </c>
      <c r="D50" s="75" t="s">
        <v>20</v>
      </c>
      <c r="E50" s="76" t="s">
        <v>67</v>
      </c>
      <c r="F50" s="77" t="s">
        <v>68</v>
      </c>
      <c r="G50" s="78" t="s">
        <v>69</v>
      </c>
      <c r="H50" s="79" t="s">
        <v>70</v>
      </c>
    </row>
    <row r="51" spans="1:13" x14ac:dyDescent="0.3">
      <c r="A51" s="12" t="s">
        <v>71</v>
      </c>
      <c r="B51" s="80" t="s">
        <v>23</v>
      </c>
      <c r="C51" s="81" t="s">
        <v>15</v>
      </c>
      <c r="D51" s="82" t="s">
        <v>72</v>
      </c>
      <c r="E51" s="83" t="s">
        <v>73</v>
      </c>
      <c r="F51" s="84" t="s">
        <v>74</v>
      </c>
      <c r="G51" s="85" t="s">
        <v>21</v>
      </c>
    </row>
    <row r="52" spans="1:13" x14ac:dyDescent="0.3">
      <c r="A52" s="99" t="s">
        <v>75</v>
      </c>
      <c r="B52" s="99"/>
      <c r="C52" s="99"/>
      <c r="D52" s="99"/>
      <c r="E52" s="99"/>
      <c r="F52" s="99"/>
      <c r="G52" s="99"/>
      <c r="H52" s="99"/>
      <c r="I52" s="99"/>
      <c r="J52" s="99"/>
      <c r="K52" s="99"/>
      <c r="L52" s="99"/>
      <c r="M52" s="96" t="s">
        <v>495</v>
      </c>
    </row>
  </sheetData>
  <mergeCells count="30"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  <mergeCell ref="J10:K10"/>
    <mergeCell ref="L10:M10"/>
    <mergeCell ref="J11:K11"/>
    <mergeCell ref="L11:M11"/>
    <mergeCell ref="J12:K12"/>
    <mergeCell ref="L12:M12"/>
    <mergeCell ref="J13:K13"/>
    <mergeCell ref="L13:M13"/>
    <mergeCell ref="J14:K14"/>
    <mergeCell ref="L14:M14"/>
    <mergeCell ref="J15:K15"/>
    <mergeCell ref="L15:M15"/>
    <mergeCell ref="A32:L32"/>
    <mergeCell ref="A52:L52"/>
    <mergeCell ref="J16:K16"/>
    <mergeCell ref="L16:M16"/>
    <mergeCell ref="J17:K17"/>
    <mergeCell ref="L17:M17"/>
    <mergeCell ref="A30:D30"/>
  </mergeCells>
  <conditionalFormatting sqref="B34:J47">
    <cfRule type="expression" dxfId="28" priority="2">
      <formula>AND(B34&lt;&gt;"",IFERROR(MID(B34,FIND("-",B34)+1,FIND("-",B34,FIND("-",B34)+1)-FIND("-",B34)-1),"")="8")</formula>
    </cfRule>
    <cfRule type="expression" dxfId="27" priority="3">
      <formula>AND(B34&lt;&gt;"",IFERROR(MID(B34,FIND("-",B34)+1,FIND("-",B34,FIND("-",B34)+1)-FIND("-",B34)-1),"")="10")</formula>
    </cfRule>
    <cfRule type="expression" dxfId="26" priority="4">
      <formula>AND(B34&lt;&gt;"",IFERROR(MID(B34,FIND("-",B34)+1,FIND("-",B34,FIND("-",B34)+1)-FIND("-",B34)-1),"")="12")</formula>
    </cfRule>
    <cfRule type="expression" dxfId="25" priority="5">
      <formula>AND(B34&lt;&gt;"",IFERROR(MID(B34,FIND("-",B34)+1,FIND("-",B34,FIND("-",B34)+1)-FIND("-",B34)-1),"")="14")</formula>
    </cfRule>
    <cfRule type="expression" dxfId="24" priority="6">
      <formula>AND(B34&lt;&gt;"",IFERROR(MID(B34,FIND("-",B34)+1,FIND("-",B34,FIND("-",B34)+1)-FIND("-",B34)-1),"")="16")</formula>
    </cfRule>
    <cfRule type="expression" dxfId="23" priority="7">
      <formula>AND(B34&lt;&gt;"",IFERROR(MID(B34,FIND("-",B34)+1,FIND("-",B34,FIND("-",B34)+1)-FIND("-",B34)-1),"")="18")</formula>
    </cfRule>
    <cfRule type="expression" dxfId="22" priority="8">
      <formula>AND(B34&lt;&gt;"",IFERROR(MID(B34,FIND("-",B34)+1,FIND("-",B34,FIND("-",B34)+1)-FIND("-",B34)-1),"")="20")</formula>
    </cfRule>
    <cfRule type="expression" dxfId="21" priority="9">
      <formula>AND(B34&lt;&gt;"",IFERROR(LEFT(B34,FIND("-",B34)-1),"")="2x4")</formula>
    </cfRule>
    <cfRule type="expression" dxfId="20" priority="10">
      <formula>AND(B34&lt;&gt;"",IFERROR(LEFT(B34,FIND("-",B34)-1),"")="2x6")</formula>
    </cfRule>
    <cfRule type="expression" dxfId="19" priority="11">
      <formula>AND(B34&lt;&gt;"",IFERROR(LEFT(B34,FIND("-",B34)-1),"")="2x8")</formula>
    </cfRule>
    <cfRule type="expression" dxfId="18" priority="12">
      <formula>AND(B34&lt;&gt;"",IFERROR(LEFT(B34,FIND("-",B34)-1),"")="2x10")</formula>
    </cfRule>
    <cfRule type="expression" dxfId="17" priority="13">
      <formula>AND(B34&lt;&gt;"",IFERROR(LEFT(B34,FIND("-",B34)-1),"")="4x4")</formula>
    </cfRule>
    <cfRule type="expression" dxfId="16" priority="14">
      <formula>AND(B34&lt;&gt;"",IFERROR(LEFT(B34,FIND("-",B34)-1),"")="4x6")</formula>
    </cfRule>
    <cfRule type="expression" dxfId="15" priority="15">
      <formula>AND(B34&lt;&gt;"",IFERROR(LEFT(B34,FIND("-",B34)-1),"")="6x6")</formula>
    </cfRule>
    <cfRule type="expression" dxfId="14" priority="16">
      <formula>AND(B34&lt;&gt;"",IFERROR(MID(B34,FIND("-",B34,FIND("-",B34)+1)+1,9),"")="1")</formula>
    </cfRule>
    <cfRule type="expression" dxfId="13" priority="17">
      <formula>AND(B34&lt;&gt;"",IFERROR(MID(B34,FIND("-",B34,FIND("-",B34)+1)+1,9),"")="2")</formula>
    </cfRule>
    <cfRule type="expression" dxfId="12" priority="18">
      <formula>AND(B34&lt;&gt;"",IFERROR(MID(B34,FIND("-",B34,FIND("-",B34)+1)+1,9),"")="3")</formula>
    </cfRule>
    <cfRule type="expression" dxfId="11" priority="19">
      <formula>AND(B34&lt;&gt;"",IFERROR(MID(B34,FIND("-",B34,FIND("-",B34)+1)+1,9),"")="4")</formula>
    </cfRule>
    <cfRule type="expression" dxfId="10" priority="20">
      <formula>AND(B34&lt;&gt;"",IFERROR(MID(B34,FIND("-",B34,FIND("-",B34)+1)+1,9),"")="2P")</formula>
    </cfRule>
    <cfRule type="expression" dxfId="9" priority="21">
      <formula>AND(B34&lt;&gt;"",IFERROR(MID(B34,FIND("-",B34,FIND("-",B34)+1)+1,9),"")="MSR")</formula>
    </cfRule>
    <cfRule type="expression" dxfId="8" priority="22">
      <formula>ROW()-33&gt;$C$5</formula>
    </cfRule>
  </conditionalFormatting>
  <conditionalFormatting sqref="H10:H29">
    <cfRule type="cellIs" dxfId="7" priority="27" operator="lessThan">
      <formula>0</formula>
    </cfRule>
  </conditionalFormatting>
  <conditionalFormatting sqref="L34:L47">
    <cfRule type="expression" dxfId="6" priority="23">
      <formula>LEFT(L34,2)="OK"</formula>
    </cfRule>
    <cfRule type="expression" dxfId="5" priority="24">
      <formula>LEFT(L34,4)="OVER"</formula>
    </cfRule>
    <cfRule type="expression" dxfId="4" priority="25">
      <formula>LEFT(L34,5)="SHORT"</formula>
    </cfRule>
    <cfRule type="expression" dxfId="3" priority="26">
      <formula>L34="— unused —"</formula>
    </cfRule>
  </conditionalFormatting>
  <conditionalFormatting sqref="A10:A29">
    <cfRule type="cellIs" dxfId="2" priority="28" stopIfTrue="1" operator="equal">
      <formula>"7-row"</formula>
    </cfRule>
    <cfRule type="cellIs" dxfId="1" priority="29" stopIfTrue="1" operator="equal">
      <formula>"5-row"</formula>
    </cfRule>
  </conditionalFormatting>
  <dataValidations count="6"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  <dataValidation type="list" allowBlank="1" showInputMessage="1" showErrorMessage="1" sqref="C5" xr:uid="{88089325-F11F-4595-A81B-23A3FAD7D9D4}">
      <formula1>"5+5,7+5,7+7"</formula1>
    </dataValidation>
    <dataValidation type="list" allowBlank="1" showInputMessage="1" showErrorMessage="1" sqref="A10:A29" xr:uid="{0E794AFE-F588-4955-A6DD-56CEBB1E9D4A}">
      <formula1>"7-row,5-row"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63"/>
  <sheetViews>
    <sheetView showGridLines="0" tabSelected="1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  <col min="13" max="13" width="9.77734375" customWidth="1"/>
    <col min="14" max="14" width="20.77734375" customWidth="1"/>
  </cols>
  <sheetData>
    <row r="1" spans="1:14" ht="19.2" x14ac:dyDescent="0.35">
      <c r="A1" s="115" t="s">
        <v>76</v>
      </c>
      <c r="B1" s="115"/>
      <c r="C1" s="115"/>
      <c r="D1" s="115"/>
      <c r="E1" s="115"/>
      <c r="F1" s="115"/>
    </row>
    <row r="2" spans="1:14" x14ac:dyDescent="0.3">
      <c r="A2" s="99" t="s">
        <v>77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86" t="s">
        <v>491</v>
      </c>
      <c r="N2" s="94" t="s">
        <v>496</v>
      </c>
    </row>
    <row r="4" spans="1:14" x14ac:dyDescent="0.3">
      <c r="A4" s="2" t="s">
        <v>78</v>
      </c>
      <c r="B4" t="s">
        <v>79</v>
      </c>
    </row>
    <row r="5" spans="1:14" x14ac:dyDescent="0.3">
      <c r="A5" s="2" t="s">
        <v>80</v>
      </c>
      <c r="B5" t="str">
        <f>Planner!C5</f>
        <v>5+5</v>
      </c>
    </row>
    <row r="6" spans="1:14" x14ac:dyDescent="0.3">
      <c r="A6" s="2" t="s">
        <v>16</v>
      </c>
      <c r="B6">
        <f>Planner!F30</f>
        <v>720</v>
      </c>
    </row>
    <row r="7" spans="1:14" x14ac:dyDescent="0.3">
      <c r="A7" s="2" t="s">
        <v>81</v>
      </c>
      <c r="B7" s="20">
        <f ca="1">TODAY()</f>
        <v>46192</v>
      </c>
    </row>
    <row r="8" spans="1:14" x14ac:dyDescent="0.3">
      <c r="A8" s="2" t="s">
        <v>82</v>
      </c>
      <c r="B8" s="21" t="s">
        <v>414</v>
      </c>
    </row>
    <row r="10" spans="1:14" x14ac:dyDescent="0.3">
      <c r="A10" s="12" t="s">
        <v>58</v>
      </c>
      <c r="B10" s="87" t="s">
        <v>59</v>
      </c>
      <c r="C10" s="88" t="s">
        <v>60</v>
      </c>
      <c r="D10" s="89" t="s">
        <v>61</v>
      </c>
      <c r="E10" s="90" t="s">
        <v>62</v>
      </c>
      <c r="F10" s="91" t="s">
        <v>63</v>
      </c>
      <c r="G10" s="92" t="s">
        <v>64</v>
      </c>
      <c r="H10" s="93" t="s">
        <v>65</v>
      </c>
    </row>
    <row r="11" spans="1:14" x14ac:dyDescent="0.3">
      <c r="A11" s="12" t="s">
        <v>66</v>
      </c>
      <c r="B11" s="13" t="s">
        <v>14</v>
      </c>
      <c r="C11" s="14" t="s">
        <v>17</v>
      </c>
      <c r="D11" s="15" t="s">
        <v>20</v>
      </c>
      <c r="E11" s="16" t="s">
        <v>67</v>
      </c>
      <c r="F11" s="17" t="s">
        <v>68</v>
      </c>
      <c r="G11" s="18" t="s">
        <v>69</v>
      </c>
      <c r="H11" s="19" t="s">
        <v>70</v>
      </c>
    </row>
    <row r="12" spans="1:14" x14ac:dyDescent="0.3">
      <c r="A12" s="12" t="s">
        <v>83</v>
      </c>
      <c r="B12" s="53" t="s">
        <v>23</v>
      </c>
      <c r="C12" s="54" t="s">
        <v>15</v>
      </c>
      <c r="D12" s="55" t="s">
        <v>72</v>
      </c>
      <c r="E12" s="56" t="s">
        <v>73</v>
      </c>
      <c r="F12" s="57" t="s">
        <v>74</v>
      </c>
      <c r="G12" s="58" t="s">
        <v>21</v>
      </c>
    </row>
    <row r="13" spans="1:14" x14ac:dyDescent="0.3">
      <c r="A13" s="98" t="s">
        <v>490</v>
      </c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</row>
    <row r="14" spans="1:14" ht="19.05" customHeight="1" x14ac:dyDescent="0.3"/>
    <row r="15" spans="1:14" ht="19.05" customHeight="1" x14ac:dyDescent="0.3"/>
    <row r="16" spans="1:14" ht="19.05" customHeight="1" x14ac:dyDescent="0.3"/>
    <row r="17" ht="19.05" customHeight="1" x14ac:dyDescent="0.3"/>
    <row r="18" ht="19.05" customHeight="1" x14ac:dyDescent="0.3"/>
    <row r="19" ht="19.05" customHeight="1" x14ac:dyDescent="0.3"/>
    <row r="20" ht="19.05" customHeight="1" x14ac:dyDescent="0.3"/>
    <row r="21" ht="19.05" customHeight="1" x14ac:dyDescent="0.3"/>
    <row r="22" ht="19.05" customHeight="1" x14ac:dyDescent="0.3"/>
    <row r="23" ht="19.05" customHeight="1" x14ac:dyDescent="0.3"/>
    <row r="24" ht="19.05" customHeight="1" x14ac:dyDescent="0.3"/>
    <row r="25" ht="19.05" customHeight="1" x14ac:dyDescent="0.3"/>
    <row r="26" ht="19.05" customHeight="1" x14ac:dyDescent="0.3"/>
    <row r="27" ht="19.05" customHeight="1" x14ac:dyDescent="0.3"/>
    <row r="28" ht="19.05" customHeight="1" x14ac:dyDescent="0.3"/>
    <row r="29" ht="19.05" customHeight="1" x14ac:dyDescent="0.3"/>
    <row r="30" ht="14.4" customHeight="1" x14ac:dyDescent="0.3"/>
    <row r="31" ht="14.4" customHeight="1" x14ac:dyDescent="0.3"/>
    <row r="32" ht="14.4" customHeight="1" x14ac:dyDescent="0.3"/>
    <row r="33" spans="1:8" ht="14.4" customHeight="1" x14ac:dyDescent="0.3"/>
    <row r="34" spans="1:8" ht="14.4" customHeight="1" x14ac:dyDescent="0.3"/>
    <row r="35" spans="1:8" ht="14.4" customHeight="1" x14ac:dyDescent="0.3"/>
    <row r="36" spans="1:8" ht="14.4" customHeight="1" x14ac:dyDescent="0.3"/>
    <row r="37" spans="1:8" ht="14.4" customHeight="1" x14ac:dyDescent="0.3"/>
    <row r="38" spans="1:8" ht="14.4" customHeight="1" x14ac:dyDescent="0.3"/>
    <row r="39" spans="1:8" ht="14.4" customHeight="1" x14ac:dyDescent="0.3"/>
    <row r="40" spans="1:8" ht="14.4" customHeight="1" x14ac:dyDescent="0.3"/>
    <row r="41" spans="1:8" ht="14.4" customHeight="1" x14ac:dyDescent="0.3"/>
    <row r="42" spans="1:8" ht="14.4" customHeight="1" x14ac:dyDescent="0.3"/>
    <row r="43" spans="1:8" ht="14.4" customHeight="1" x14ac:dyDescent="0.3"/>
    <row r="44" spans="1:8" ht="14.4" customHeight="1" x14ac:dyDescent="0.3"/>
    <row r="45" spans="1:8" ht="14.4" customHeight="1" x14ac:dyDescent="0.3"/>
    <row r="46" spans="1:8" ht="15" thickBot="1" x14ac:dyDescent="0.35">
      <c r="A46" s="98" t="s">
        <v>88</v>
      </c>
      <c r="B46" s="98"/>
      <c r="C46" s="98"/>
      <c r="D46" s="98"/>
      <c r="E46" s="98"/>
      <c r="F46" s="98"/>
      <c r="G46" s="98"/>
      <c r="H46" s="98"/>
    </row>
    <row r="47" spans="1:8" x14ac:dyDescent="0.3">
      <c r="A47" s="5" t="s">
        <v>89</v>
      </c>
      <c r="B47" s="28" t="s">
        <v>23</v>
      </c>
      <c r="C47" s="29" t="s">
        <v>15</v>
      </c>
      <c r="D47" s="30" t="s">
        <v>72</v>
      </c>
      <c r="E47" s="31" t="s">
        <v>73</v>
      </c>
      <c r="F47" s="32" t="s">
        <v>74</v>
      </c>
      <c r="G47" s="33" t="s">
        <v>21</v>
      </c>
      <c r="H47" s="5" t="s">
        <v>40</v>
      </c>
    </row>
    <row r="48" spans="1:8" x14ac:dyDescent="0.3">
      <c r="A48" s="59" t="s">
        <v>14</v>
      </c>
      <c r="B48" s="8">
        <f>SUMIFS(Planner!$G$10:$G$29,Planner!$B$10:$B$29,"2x4",Planner!$D$10:$D$29,"1")</f>
        <v>0</v>
      </c>
      <c r="C48" s="8">
        <f>SUMIFS(Planner!$G$10:$G$29,Planner!$B$10:$B$29,"2x4",Planner!$D$10:$D$29,"2")</f>
        <v>0</v>
      </c>
      <c r="D48" s="8">
        <f>SUMIFS(Planner!$G$10:$G$29,Planner!$B$10:$B$29,"2x4",Planner!$D$10:$D$29,"3")</f>
        <v>0</v>
      </c>
      <c r="E48" s="8">
        <f>SUMIFS(Planner!$G$10:$G$29,Planner!$B$10:$B$29,"2x4",Planner!$D$10:$D$29,"4")</f>
        <v>0</v>
      </c>
      <c r="F48" s="8">
        <f>SUMIFS(Planner!$G$10:$G$29,Planner!$B$10:$B$29,"2x4",Planner!$D$10:$D$29,"2P")</f>
        <v>0</v>
      </c>
      <c r="G48" s="8">
        <f>SUMIFS(Planner!$G$10:$G$29,Planner!$B$10:$B$29,"2x4",Planner!$D$10:$D$29,"MSR")</f>
        <v>0</v>
      </c>
      <c r="H48" s="1">
        <f t="shared" ref="H48:H54" si="0">SUM(B48:G48)</f>
        <v>0</v>
      </c>
    </row>
    <row r="49" spans="1:8" x14ac:dyDescent="0.3">
      <c r="A49" s="60" t="s">
        <v>17</v>
      </c>
      <c r="B49" s="8">
        <f>SUMIFS(Planner!$G$10:$G$29,Planner!$B$10:$B$29,"2x6",Planner!$D$10:$D$29,"1")</f>
        <v>0</v>
      </c>
      <c r="C49" s="8">
        <f>SUMIFS(Planner!$G$10:$G$29,Planner!$B$10:$B$29,"2x6",Planner!$D$10:$D$29,"2")</f>
        <v>58</v>
      </c>
      <c r="D49" s="8">
        <f>SUMIFS(Planner!$G$10:$G$29,Planner!$B$10:$B$29,"2x6",Planner!$D$10:$D$29,"3")</f>
        <v>0</v>
      </c>
      <c r="E49" s="8">
        <f>SUMIFS(Planner!$G$10:$G$29,Planner!$B$10:$B$29,"2x6",Planner!$D$10:$D$29,"4")</f>
        <v>0</v>
      </c>
      <c r="F49" s="8">
        <f>SUMIFS(Planner!$G$10:$G$29,Planner!$B$10:$B$29,"2x6",Planner!$D$10:$D$29,"2P")</f>
        <v>0</v>
      </c>
      <c r="G49" s="8">
        <f>SUMIFS(Planner!$G$10:$G$29,Planner!$B$10:$B$29,"2x6",Planner!$D$10:$D$29,"MSR")</f>
        <v>0</v>
      </c>
      <c r="H49" s="1">
        <f t="shared" si="0"/>
        <v>58</v>
      </c>
    </row>
    <row r="50" spans="1:8" x14ac:dyDescent="0.3">
      <c r="A50" s="61" t="s">
        <v>20</v>
      </c>
      <c r="B50" s="8">
        <f>SUMIFS(Planner!$G$10:$G$29,Planner!$B$10:$B$29,"2x8",Planner!$D$10:$D$29,"1")</f>
        <v>0</v>
      </c>
      <c r="C50" s="8">
        <f>SUMIFS(Planner!$G$10:$G$29,Planner!$B$10:$B$29,"2x8",Planner!$D$10:$D$29,"2")</f>
        <v>0</v>
      </c>
      <c r="D50" s="8">
        <f>SUMIFS(Planner!$G$10:$G$29,Planner!$B$10:$B$29,"2x8",Planner!$D$10:$D$29,"3")</f>
        <v>0</v>
      </c>
      <c r="E50" s="8">
        <f>SUMIFS(Planner!$G$10:$G$29,Planner!$B$10:$B$29,"2x8",Planner!$D$10:$D$29,"4")</f>
        <v>0</v>
      </c>
      <c r="F50" s="8">
        <f>SUMIFS(Planner!$G$10:$G$29,Planner!$B$10:$B$29,"2x8",Planner!$D$10:$D$29,"2P")</f>
        <v>0</v>
      </c>
      <c r="G50" s="8">
        <f>SUMIFS(Planner!$G$10:$G$29,Planner!$B$10:$B$29,"2x8",Planner!$D$10:$D$29,"MSR")</f>
        <v>0</v>
      </c>
      <c r="H50" s="1">
        <f t="shared" si="0"/>
        <v>0</v>
      </c>
    </row>
    <row r="51" spans="1:8" x14ac:dyDescent="0.3">
      <c r="A51" s="62" t="s">
        <v>67</v>
      </c>
      <c r="B51" s="8">
        <f>SUMIFS(Planner!$G$10:$G$29,Planner!$B$10:$B$29,"2x10",Planner!$D$10:$D$29,"1")</f>
        <v>0</v>
      </c>
      <c r="C51" s="8">
        <f>SUMIFS(Planner!$G$10:$G$29,Planner!$B$10:$B$29,"2x10",Planner!$D$10:$D$29,"2")</f>
        <v>0</v>
      </c>
      <c r="D51" s="8">
        <f>SUMIFS(Planner!$G$10:$G$29,Planner!$B$10:$B$29,"2x10",Planner!$D$10:$D$29,"3")</f>
        <v>0</v>
      </c>
      <c r="E51" s="8">
        <f>SUMIFS(Planner!$G$10:$G$29,Planner!$B$10:$B$29,"2x10",Planner!$D$10:$D$29,"4")</f>
        <v>0</v>
      </c>
      <c r="F51" s="8">
        <f>SUMIFS(Planner!$G$10:$G$29,Planner!$B$10:$B$29,"2x10",Planner!$D$10:$D$29,"2P")</f>
        <v>0</v>
      </c>
      <c r="G51" s="8">
        <f>SUMIFS(Planner!$G$10:$G$29,Planner!$B$10:$B$29,"2x10",Planner!$D$10:$D$29,"MSR")</f>
        <v>0</v>
      </c>
      <c r="H51" s="1">
        <f t="shared" si="0"/>
        <v>0</v>
      </c>
    </row>
    <row r="52" spans="1:8" x14ac:dyDescent="0.3">
      <c r="A52" s="63" t="s">
        <v>68</v>
      </c>
      <c r="B52" s="8">
        <f>SUMIFS(Planner!$G$10:$G$29,Planner!$B$10:$B$29,"4x4",Planner!$D$10:$D$29,"1")</f>
        <v>0</v>
      </c>
      <c r="C52" s="8">
        <f>SUMIFS(Planner!$G$10:$G$29,Planner!$B$10:$B$29,"4x4",Planner!$D$10:$D$29,"2")</f>
        <v>0</v>
      </c>
      <c r="D52" s="8">
        <f>SUMIFS(Planner!$G$10:$G$29,Planner!$B$10:$B$29,"4x4",Planner!$D$10:$D$29,"3")</f>
        <v>0</v>
      </c>
      <c r="E52" s="8">
        <f>SUMIFS(Planner!$G$10:$G$29,Planner!$B$10:$B$29,"4x4",Planner!$D$10:$D$29,"4")</f>
        <v>0</v>
      </c>
      <c r="F52" s="8">
        <f>SUMIFS(Planner!$G$10:$G$29,Planner!$B$10:$B$29,"4x4",Planner!$D$10:$D$29,"2P")</f>
        <v>0</v>
      </c>
      <c r="G52" s="8">
        <f>SUMIFS(Planner!$G$10:$G$29,Planner!$B$10:$B$29,"4x4",Planner!$D$10:$D$29,"MSR")</f>
        <v>0</v>
      </c>
      <c r="H52" s="1">
        <f t="shared" si="0"/>
        <v>0</v>
      </c>
    </row>
    <row r="53" spans="1:8" x14ac:dyDescent="0.3">
      <c r="A53" s="64" t="s">
        <v>69</v>
      </c>
      <c r="B53" s="8">
        <f>SUMIFS(Planner!$G$10:$G$29,Planner!$B$10:$B$29,"4x6",Planner!$D$10:$D$29,"1")</f>
        <v>0</v>
      </c>
      <c r="C53" s="8">
        <f>SUMIFS(Planner!$G$10:$G$29,Planner!$B$10:$B$29,"4x6",Planner!$D$10:$D$29,"2")</f>
        <v>0</v>
      </c>
      <c r="D53" s="8">
        <f>SUMIFS(Planner!$G$10:$G$29,Planner!$B$10:$B$29,"4x6",Planner!$D$10:$D$29,"3")</f>
        <v>0</v>
      </c>
      <c r="E53" s="8">
        <f>SUMIFS(Planner!$G$10:$G$29,Planner!$B$10:$B$29,"4x6",Planner!$D$10:$D$29,"4")</f>
        <v>0</v>
      </c>
      <c r="F53" s="8">
        <f>SUMIFS(Planner!$G$10:$G$29,Planner!$B$10:$B$29,"4x6",Planner!$D$10:$D$29,"2P")</f>
        <v>0</v>
      </c>
      <c r="G53" s="8">
        <f>SUMIFS(Planner!$G$10:$G$29,Planner!$B$10:$B$29,"4x6",Planner!$D$10:$D$29,"MSR")</f>
        <v>0</v>
      </c>
      <c r="H53" s="1">
        <f t="shared" si="0"/>
        <v>0</v>
      </c>
    </row>
    <row r="54" spans="1:8" x14ac:dyDescent="0.3">
      <c r="A54" s="65" t="s">
        <v>70</v>
      </c>
      <c r="B54" s="8">
        <f>SUMIFS(Planner!$G$10:$G$29,Planner!$B$10:$B$29,"6x6",Planner!$D$10:$D$29,"1")</f>
        <v>0</v>
      </c>
      <c r="C54" s="8">
        <f>SUMIFS(Planner!$G$10:$G$29,Planner!$B$10:$B$29,"6x6",Planner!$D$10:$D$29,"2")</f>
        <v>0</v>
      </c>
      <c r="D54" s="8">
        <f>SUMIFS(Planner!$G$10:$G$29,Planner!$B$10:$B$29,"6x6",Planner!$D$10:$D$29,"3")</f>
        <v>0</v>
      </c>
      <c r="E54" s="8">
        <f>SUMIFS(Planner!$G$10:$G$29,Planner!$B$10:$B$29,"6x6",Planner!$D$10:$D$29,"4")</f>
        <v>0</v>
      </c>
      <c r="F54" s="8">
        <f>SUMIFS(Planner!$G$10:$G$29,Planner!$B$10:$B$29,"6x6",Planner!$D$10:$D$29,"2P")</f>
        <v>0</v>
      </c>
      <c r="G54" s="8">
        <f>SUMIFS(Planner!$G$10:$G$29,Planner!$B$10:$B$29,"6x6",Planner!$D$10:$D$29,"MSR")</f>
        <v>0</v>
      </c>
      <c r="H54" s="1">
        <f t="shared" si="0"/>
        <v>0</v>
      </c>
    </row>
    <row r="55" spans="1:8" x14ac:dyDescent="0.3">
      <c r="A55" s="98" t="s">
        <v>84</v>
      </c>
      <c r="B55" s="98"/>
      <c r="C55" s="98"/>
      <c r="E55" s="98" t="s">
        <v>85</v>
      </c>
      <c r="F55" s="98"/>
      <c r="G55" s="98"/>
    </row>
    <row r="56" spans="1:8" x14ac:dyDescent="0.3">
      <c r="A56" s="5" t="s">
        <v>6</v>
      </c>
      <c r="B56" s="5" t="s">
        <v>86</v>
      </c>
      <c r="C56" s="5" t="s">
        <v>87</v>
      </c>
      <c r="E56" s="5" t="s">
        <v>8</v>
      </c>
      <c r="F56" s="5" t="s">
        <v>86</v>
      </c>
      <c r="G56" s="5" t="s">
        <v>87</v>
      </c>
    </row>
    <row r="57" spans="1:8" x14ac:dyDescent="0.3">
      <c r="A57" s="59" t="s">
        <v>14</v>
      </c>
      <c r="B57" s="8">
        <f>SUMIF(Planner!$B$10:$B$29,"2x4",Planner!$G$10:$G$29)</f>
        <v>0</v>
      </c>
      <c r="C57" s="8">
        <f>SUMIF(Planner!$B$10:$B$29,"2x4",Planner!$I$10:$I$29)</f>
        <v>0</v>
      </c>
      <c r="E57" s="22" t="s">
        <v>23</v>
      </c>
      <c r="F57" s="8">
        <f>SUMIF(Planner!$D$10:$D$29,"1",Planner!$G$10:$G$29)</f>
        <v>0</v>
      </c>
      <c r="G57" s="8">
        <f>SUMIF(Planner!$D$10:$D$29,"1",Planner!$I$10:$I$29)</f>
        <v>0</v>
      </c>
    </row>
    <row r="58" spans="1:8" x14ac:dyDescent="0.3">
      <c r="A58" s="60" t="s">
        <v>17</v>
      </c>
      <c r="B58" s="8">
        <f>SUMIF(Planner!$B$10:$B$29,"2x6",Planner!$G$10:$G$29)</f>
        <v>58</v>
      </c>
      <c r="C58" s="8">
        <f>SUMIF(Planner!$B$10:$B$29,"2x6",Planner!$I$10:$I$29)</f>
        <v>720</v>
      </c>
      <c r="E58" s="23" t="s">
        <v>15</v>
      </c>
      <c r="F58" s="8">
        <f>SUMIF(Planner!$D$10:$D$29,"2",Planner!$G$10:$G$29)</f>
        <v>58</v>
      </c>
      <c r="G58" s="8">
        <f>SUMIF(Planner!$D$10:$D$29,"2",Planner!$I$10:$I$29)</f>
        <v>720</v>
      </c>
    </row>
    <row r="59" spans="1:8" x14ac:dyDescent="0.3">
      <c r="A59" s="61" t="s">
        <v>20</v>
      </c>
      <c r="B59" s="8">
        <f>SUMIF(Planner!$B$10:$B$29,"2x8",Planner!$G$10:$G$29)</f>
        <v>0</v>
      </c>
      <c r="C59" s="8">
        <f>SUMIF(Planner!$B$10:$B$29,"2x8",Planner!$I$10:$I$29)</f>
        <v>0</v>
      </c>
      <c r="E59" s="24" t="s">
        <v>72</v>
      </c>
      <c r="F59" s="8">
        <f>SUMIF(Planner!$D$10:$D$29,"3",Planner!$G$10:$G$29)</f>
        <v>0</v>
      </c>
      <c r="G59" s="8">
        <f>SUMIF(Planner!$D$10:$D$29,"3",Planner!$I$10:$I$29)</f>
        <v>0</v>
      </c>
    </row>
    <row r="60" spans="1:8" x14ac:dyDescent="0.3">
      <c r="A60" s="62" t="s">
        <v>67</v>
      </c>
      <c r="B60" s="8">
        <f>SUMIF(Planner!$B$10:$B$29,"2x10",Planner!$G$10:$G$29)</f>
        <v>0</v>
      </c>
      <c r="C60" s="8">
        <f>SUMIF(Planner!$B$10:$B$29,"2x10",Planner!$I$10:$I$29)</f>
        <v>0</v>
      </c>
      <c r="E60" s="25" t="s">
        <v>73</v>
      </c>
      <c r="F60" s="8">
        <f>SUMIF(Planner!$D$10:$D$29,"4",Planner!$G$10:$G$29)</f>
        <v>0</v>
      </c>
      <c r="G60" s="8">
        <f>SUMIF(Planner!$D$10:$D$29,"4",Planner!$I$10:$I$29)</f>
        <v>0</v>
      </c>
    </row>
    <row r="61" spans="1:8" x14ac:dyDescent="0.3">
      <c r="A61" s="63" t="s">
        <v>68</v>
      </c>
      <c r="B61" s="8">
        <f>SUMIF(Planner!$B$10:$B$29,"4x4",Planner!$G$10:$G$29)</f>
        <v>0</v>
      </c>
      <c r="C61" s="8">
        <f>SUMIF(Planner!$B$10:$B$29,"4x4",Planner!$I$10:$I$29)</f>
        <v>0</v>
      </c>
      <c r="E61" s="26" t="s">
        <v>74</v>
      </c>
      <c r="F61" s="8">
        <f>SUMIF(Planner!$D$10:$D$29,"2P",Planner!$G$10:$G$29)</f>
        <v>0</v>
      </c>
      <c r="G61" s="8">
        <f>SUMIF(Planner!$D$10:$D$29,"2P",Planner!$I$10:$I$29)</f>
        <v>0</v>
      </c>
    </row>
    <row r="62" spans="1:8" x14ac:dyDescent="0.3">
      <c r="A62" s="64" t="s">
        <v>69</v>
      </c>
      <c r="B62" s="8">
        <f>SUMIF(Planner!$B$10:$B$29,"4x6",Planner!$G$10:$G$29)</f>
        <v>0</v>
      </c>
      <c r="C62" s="8">
        <f>SUMIF(Planner!$B$10:$B$29,"4x6",Planner!$I$10:$I$29)</f>
        <v>0</v>
      </c>
      <c r="E62" s="27" t="s">
        <v>21</v>
      </c>
      <c r="F62" s="8">
        <f>SUMIF(Planner!$D$10:$D$29,"MSR",Planner!$G$10:$G$29)</f>
        <v>0</v>
      </c>
      <c r="G62" s="8">
        <f>SUMIF(Planner!$D$10:$D$29,"MSR",Planner!$I$10:$I$29)</f>
        <v>0</v>
      </c>
    </row>
    <row r="63" spans="1:8" x14ac:dyDescent="0.3">
      <c r="A63" s="65" t="s">
        <v>70</v>
      </c>
      <c r="B63" s="8">
        <f>SUMIF(Planner!$B$10:$B$29,"6x6",Planner!$G$10:$G$29)</f>
        <v>0</v>
      </c>
      <c r="C63" s="8">
        <f>SUMIF(Planner!$B$10:$B$29,"6x6",Planner!$I$10:$I$29)</f>
        <v>0</v>
      </c>
    </row>
  </sheetData>
  <mergeCells count="6">
    <mergeCell ref="A55:C55"/>
    <mergeCell ref="E55:G55"/>
    <mergeCell ref="A46:H46"/>
    <mergeCell ref="A1:F1"/>
    <mergeCell ref="A2:L2"/>
    <mergeCell ref="A13:L13"/>
  </mergeCells>
  <dataValidations count="1">
    <dataValidation type="list" allowBlank="1" showInputMessage="1" showErrorMessage="1" sqref="N2" xr:uid="{02F801E5-11C2-458C-A4C1-138EAA32EAAA}">
      <formula1>"Color (pastel),Vivid,Material,Tableau,Earth / lumberyard,Jewel tones,Rainbow (warm to cool),Viridis (colour-safe),Sunset (warm),Neon,High contrast,B &amp; W (print)"</formula1>
    </dataValidation>
  </dataValidations>
  <printOptions horizontalCentered="1"/>
  <pageMargins left="0.2" right="0.2" top="0.3" bottom="0.3" header="0.1" footer="0.1"/>
  <pageSetup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421</v>
      </c>
    </row>
    <row r="2" spans="2:2" x14ac:dyDescent="0.3">
      <c r="B2" s="41" t="s">
        <v>422</v>
      </c>
    </row>
    <row r="3" spans="2:2" ht="6" customHeight="1" x14ac:dyDescent="0.3">
      <c r="B3" s="39"/>
    </row>
    <row r="4" spans="2:2" ht="15.6" x14ac:dyDescent="0.3">
      <c r="B4" s="42" t="s">
        <v>423</v>
      </c>
    </row>
    <row r="5" spans="2:2" ht="27.6" x14ac:dyDescent="0.3">
      <c r="B5" s="43" t="s">
        <v>424</v>
      </c>
    </row>
    <row r="6" spans="2:2" x14ac:dyDescent="0.3">
      <c r="B6" s="43" t="s">
        <v>425</v>
      </c>
    </row>
    <row r="7" spans="2:2" ht="27.6" x14ac:dyDescent="0.3">
      <c r="B7" s="43" t="s">
        <v>426</v>
      </c>
    </row>
    <row r="8" spans="2:2" x14ac:dyDescent="0.3">
      <c r="B8" s="43" t="s">
        <v>427</v>
      </c>
    </row>
    <row r="9" spans="2:2" ht="6" customHeight="1" x14ac:dyDescent="0.3">
      <c r="B9" s="39"/>
    </row>
    <row r="10" spans="2:2" ht="15.6" x14ac:dyDescent="0.3">
      <c r="B10" s="42" t="s">
        <v>428</v>
      </c>
    </row>
    <row r="11" spans="2:2" ht="27.6" x14ac:dyDescent="0.3">
      <c r="B11" s="43" t="s">
        <v>429</v>
      </c>
    </row>
    <row r="12" spans="2:2" x14ac:dyDescent="0.3">
      <c r="B12" s="43" t="s">
        <v>430</v>
      </c>
    </row>
    <row r="13" spans="2:2" x14ac:dyDescent="0.3">
      <c r="B13" s="43" t="s">
        <v>431</v>
      </c>
    </row>
    <row r="14" spans="2:2" x14ac:dyDescent="0.3">
      <c r="B14" s="43" t="s">
        <v>432</v>
      </c>
    </row>
    <row r="15" spans="2:2" x14ac:dyDescent="0.3">
      <c r="B15" s="43" t="s">
        <v>433</v>
      </c>
    </row>
    <row r="16" spans="2:2" ht="6" customHeight="1" x14ac:dyDescent="0.3">
      <c r="B16" s="39"/>
    </row>
    <row r="17" spans="2:2" ht="15.6" x14ac:dyDescent="0.3">
      <c r="B17" s="42" t="s">
        <v>434</v>
      </c>
    </row>
    <row r="18" spans="2:2" x14ac:dyDescent="0.3">
      <c r="B18" s="44" t="s">
        <v>435</v>
      </c>
    </row>
    <row r="19" spans="2:2" x14ac:dyDescent="0.3">
      <c r="B19" s="43" t="s">
        <v>436</v>
      </c>
    </row>
    <row r="20" spans="2:2" x14ac:dyDescent="0.3">
      <c r="B20" s="43" t="s">
        <v>437</v>
      </c>
    </row>
    <row r="21" spans="2:2" x14ac:dyDescent="0.3">
      <c r="B21" s="43" t="s">
        <v>438</v>
      </c>
    </row>
    <row r="22" spans="2:2" x14ac:dyDescent="0.3">
      <c r="B22" s="44" t="s">
        <v>439</v>
      </c>
    </row>
    <row r="23" spans="2:2" x14ac:dyDescent="0.3">
      <c r="B23" s="43" t="s">
        <v>440</v>
      </c>
    </row>
    <row r="24" spans="2:2" x14ac:dyDescent="0.3">
      <c r="B24" s="43" t="s">
        <v>441</v>
      </c>
    </row>
    <row r="25" spans="2:2" x14ac:dyDescent="0.3">
      <c r="B25" s="45" t="s">
        <v>442</v>
      </c>
    </row>
    <row r="26" spans="2:2" x14ac:dyDescent="0.3">
      <c r="B26" s="44" t="s">
        <v>443</v>
      </c>
    </row>
    <row r="27" spans="2:2" x14ac:dyDescent="0.3">
      <c r="B27" s="43" t="s">
        <v>444</v>
      </c>
    </row>
    <row r="28" spans="2:2" x14ac:dyDescent="0.3">
      <c r="B28" s="43" t="s">
        <v>445</v>
      </c>
    </row>
    <row r="29" spans="2:2" x14ac:dyDescent="0.3">
      <c r="B29" s="43" t="s">
        <v>446</v>
      </c>
    </row>
    <row r="30" spans="2:2" x14ac:dyDescent="0.3">
      <c r="B30" s="43" t="s">
        <v>447</v>
      </c>
    </row>
    <row r="31" spans="2:2" x14ac:dyDescent="0.3">
      <c r="B31" s="43" t="s">
        <v>448</v>
      </c>
    </row>
    <row r="32" spans="2:2" x14ac:dyDescent="0.3">
      <c r="B32" s="44" t="s">
        <v>449</v>
      </c>
    </row>
    <row r="33" spans="2:2" x14ac:dyDescent="0.3">
      <c r="B33" s="43" t="s">
        <v>450</v>
      </c>
    </row>
    <row r="34" spans="2:2" x14ac:dyDescent="0.3">
      <c r="B34" s="43" t="s">
        <v>451</v>
      </c>
    </row>
    <row r="35" spans="2:2" ht="27.6" x14ac:dyDescent="0.3">
      <c r="B35" s="43" t="s">
        <v>452</v>
      </c>
    </row>
    <row r="36" spans="2:2" x14ac:dyDescent="0.3">
      <c r="B36" s="44" t="s">
        <v>453</v>
      </c>
    </row>
    <row r="37" spans="2:2" x14ac:dyDescent="0.3">
      <c r="B37" s="43" t="s">
        <v>454</v>
      </c>
    </row>
    <row r="38" spans="2:2" x14ac:dyDescent="0.3">
      <c r="B38" s="43" t="s">
        <v>455</v>
      </c>
    </row>
    <row r="39" spans="2:2" x14ac:dyDescent="0.3">
      <c r="B39" s="43" t="s">
        <v>456</v>
      </c>
    </row>
    <row r="40" spans="2:2" x14ac:dyDescent="0.3">
      <c r="B40" s="43" t="s">
        <v>457</v>
      </c>
    </row>
    <row r="41" spans="2:2" ht="6" customHeight="1" x14ac:dyDescent="0.3">
      <c r="B41" s="39"/>
    </row>
    <row r="42" spans="2:2" ht="15.6" x14ac:dyDescent="0.3">
      <c r="B42" s="42" t="s">
        <v>458</v>
      </c>
    </row>
    <row r="43" spans="2:2" x14ac:dyDescent="0.3">
      <c r="B43" s="44" t="s">
        <v>459</v>
      </c>
    </row>
    <row r="44" spans="2:2" x14ac:dyDescent="0.3">
      <c r="B44" s="43" t="s">
        <v>460</v>
      </c>
    </row>
    <row r="45" spans="2:2" x14ac:dyDescent="0.3">
      <c r="B45" s="43" t="s">
        <v>461</v>
      </c>
    </row>
    <row r="46" spans="2:2" x14ac:dyDescent="0.3">
      <c r="B46" s="43" t="s">
        <v>462</v>
      </c>
    </row>
    <row r="47" spans="2:2" x14ac:dyDescent="0.3">
      <c r="B47" s="44" t="s">
        <v>463</v>
      </c>
    </row>
    <row r="48" spans="2:2" ht="27.6" x14ac:dyDescent="0.3">
      <c r="B48" s="43" t="s">
        <v>464</v>
      </c>
    </row>
    <row r="49" spans="2:2" ht="6" customHeight="1" x14ac:dyDescent="0.3">
      <c r="B49" s="39"/>
    </row>
    <row r="50" spans="2:2" ht="15.6" x14ac:dyDescent="0.3">
      <c r="B50" s="42" t="s">
        <v>465</v>
      </c>
    </row>
    <row r="51" spans="2:2" ht="27.6" x14ac:dyDescent="0.3">
      <c r="B51" s="43" t="s">
        <v>466</v>
      </c>
    </row>
    <row r="52" spans="2:2" x14ac:dyDescent="0.3">
      <c r="B52" s="43" t="s">
        <v>467</v>
      </c>
    </row>
    <row r="53" spans="2:2" x14ac:dyDescent="0.3">
      <c r="B53" s="43" t="s">
        <v>468</v>
      </c>
    </row>
    <row r="54" spans="2:2" ht="26.4" x14ac:dyDescent="0.3">
      <c r="B54" s="45" t="s">
        <v>469</v>
      </c>
    </row>
    <row r="55" spans="2:2" ht="6" customHeight="1" x14ac:dyDescent="0.3">
      <c r="B55" s="39"/>
    </row>
    <row r="56" spans="2:2" ht="15.6" x14ac:dyDescent="0.3">
      <c r="B56" s="42" t="s">
        <v>470</v>
      </c>
    </row>
    <row r="57" spans="2:2" x14ac:dyDescent="0.3">
      <c r="B57" s="43" t="s">
        <v>471</v>
      </c>
    </row>
    <row r="58" spans="2:2" x14ac:dyDescent="0.3">
      <c r="B58" s="43" t="s">
        <v>472</v>
      </c>
    </row>
    <row r="59" spans="2:2" x14ac:dyDescent="0.3">
      <c r="B59" s="43" t="s">
        <v>473</v>
      </c>
    </row>
    <row r="60" spans="2:2" ht="26.4" x14ac:dyDescent="0.3">
      <c r="B60" s="45" t="s">
        <v>474</v>
      </c>
    </row>
    <row r="61" spans="2:2" ht="6" customHeight="1" x14ac:dyDescent="0.3">
      <c r="B61" s="39"/>
    </row>
    <row r="62" spans="2:2" ht="15.6" x14ac:dyDescent="0.3">
      <c r="B62" s="42" t="s">
        <v>475</v>
      </c>
    </row>
    <row r="63" spans="2:2" ht="27.6" x14ac:dyDescent="0.3">
      <c r="B63" s="43" t="s">
        <v>476</v>
      </c>
    </row>
    <row r="64" spans="2:2" x14ac:dyDescent="0.3">
      <c r="B64" s="43" t="s">
        <v>477</v>
      </c>
    </row>
    <row r="65" spans="2:2" ht="6" customHeight="1" x14ac:dyDescent="0.3">
      <c r="B65" s="39"/>
    </row>
    <row r="66" spans="2:2" ht="15.6" x14ac:dyDescent="0.3">
      <c r="B66" s="42" t="s">
        <v>478</v>
      </c>
    </row>
    <row r="67" spans="2:2" x14ac:dyDescent="0.3">
      <c r="B67" s="43" t="s">
        <v>479</v>
      </c>
    </row>
    <row r="68" spans="2:2" ht="6" customHeight="1" x14ac:dyDescent="0.3">
      <c r="B68" s="39"/>
    </row>
    <row r="69" spans="2:2" ht="15.6" x14ac:dyDescent="0.3">
      <c r="B69" s="42" t="s">
        <v>480</v>
      </c>
    </row>
    <row r="70" spans="2:2" ht="27.6" x14ac:dyDescent="0.3">
      <c r="B70" s="43" t="s">
        <v>481</v>
      </c>
    </row>
    <row r="71" spans="2:2" ht="27.6" x14ac:dyDescent="0.3">
      <c r="B71" s="43" t="s">
        <v>482</v>
      </c>
    </row>
    <row r="72" spans="2:2" ht="27.6" x14ac:dyDescent="0.3">
      <c r="B72" s="43" t="s">
        <v>483</v>
      </c>
    </row>
    <row r="73" spans="2:2" ht="6" customHeight="1" x14ac:dyDescent="0.3">
      <c r="B73" s="39"/>
    </row>
    <row r="74" spans="2:2" ht="15.6" x14ac:dyDescent="0.3">
      <c r="B74" s="42" t="s">
        <v>484</v>
      </c>
    </row>
    <row r="75" spans="2:2" ht="27.6" x14ac:dyDescent="0.3">
      <c r="B75" s="43" t="s">
        <v>485</v>
      </c>
    </row>
    <row r="76" spans="2:2" x14ac:dyDescent="0.3">
      <c r="B76" s="43" t="s">
        <v>486</v>
      </c>
    </row>
    <row r="77" spans="2:2" x14ac:dyDescent="0.3">
      <c r="B77" s="43" t="s">
        <v>487</v>
      </c>
    </row>
    <row r="78" spans="2:2" ht="27.6" x14ac:dyDescent="0.3">
      <c r="B78" s="43" t="s">
        <v>488</v>
      </c>
    </row>
    <row r="79" spans="2:2" ht="6" customHeight="1" x14ac:dyDescent="0.3">
      <c r="B79" s="39"/>
    </row>
    <row r="80" spans="2:2" x14ac:dyDescent="0.3">
      <c r="B80" s="41" t="s">
        <v>489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4" ht="17.399999999999999" x14ac:dyDescent="0.3">
      <c r="A1" s="116" t="s">
        <v>90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N1" s="97">
        <v>0</v>
      </c>
    </row>
    <row r="2" spans="1:14" x14ac:dyDescent="0.3">
      <c r="A2" s="99" t="s">
        <v>91</v>
      </c>
      <c r="B2" s="99"/>
      <c r="C2" s="99"/>
      <c r="D2" s="99"/>
      <c r="E2" s="99"/>
      <c r="F2" s="99"/>
      <c r="G2" s="99"/>
      <c r="H2" s="99"/>
      <c r="I2" s="99"/>
      <c r="J2" s="99"/>
      <c r="K2" s="99"/>
    </row>
    <row r="4" spans="1:14" x14ac:dyDescent="0.3">
      <c r="A4" s="5" t="s">
        <v>5</v>
      </c>
      <c r="B4" s="5" t="s">
        <v>92</v>
      </c>
      <c r="C4" s="46" t="s">
        <v>59</v>
      </c>
      <c r="D4" s="47" t="s">
        <v>60</v>
      </c>
      <c r="E4" s="48" t="s">
        <v>61</v>
      </c>
      <c r="F4" s="49" t="s">
        <v>62</v>
      </c>
      <c r="G4" s="50" t="s">
        <v>63</v>
      </c>
      <c r="H4" s="51" t="s">
        <v>64</v>
      </c>
      <c r="I4" s="52" t="s">
        <v>65</v>
      </c>
      <c r="J4" s="5" t="s">
        <v>40</v>
      </c>
    </row>
    <row r="5" spans="1:14" x14ac:dyDescent="0.3">
      <c r="A5" s="8">
        <v>1</v>
      </c>
      <c r="B5" s="34" t="s">
        <v>93</v>
      </c>
      <c r="C5" s="8"/>
      <c r="D5" s="8"/>
      <c r="E5" s="66">
        <v>1</v>
      </c>
      <c r="F5" s="8"/>
      <c r="G5" s="8"/>
      <c r="H5" s="8"/>
      <c r="I5" s="67">
        <v>3</v>
      </c>
      <c r="J5" s="1">
        <v>72</v>
      </c>
    </row>
    <row r="6" spans="1:14" x14ac:dyDescent="0.3">
      <c r="A6" s="8">
        <v>2</v>
      </c>
      <c r="B6" s="34" t="s">
        <v>94</v>
      </c>
      <c r="C6" s="8"/>
      <c r="D6" s="8"/>
      <c r="E6" s="8"/>
      <c r="F6" s="68">
        <v>1</v>
      </c>
      <c r="G6" s="8"/>
      <c r="H6" s="69">
        <v>1</v>
      </c>
      <c r="I6" s="67">
        <v>2</v>
      </c>
      <c r="J6" s="1">
        <v>72</v>
      </c>
    </row>
    <row r="7" spans="1:14" x14ac:dyDescent="0.3">
      <c r="A7" s="8">
        <v>3</v>
      </c>
      <c r="B7" s="34" t="s">
        <v>95</v>
      </c>
      <c r="C7" s="8"/>
      <c r="D7" s="8"/>
      <c r="E7" s="8"/>
      <c r="F7" s="8"/>
      <c r="G7" s="70">
        <v>2</v>
      </c>
      <c r="H7" s="8"/>
      <c r="I7" s="67">
        <v>2</v>
      </c>
      <c r="J7" s="1">
        <v>72</v>
      </c>
    </row>
    <row r="8" spans="1:14" x14ac:dyDescent="0.3">
      <c r="A8" s="8">
        <v>4</v>
      </c>
      <c r="B8" s="34" t="s">
        <v>96</v>
      </c>
      <c r="C8" s="8"/>
      <c r="D8" s="8"/>
      <c r="E8" s="8"/>
      <c r="F8" s="8"/>
      <c r="G8" s="70">
        <v>1</v>
      </c>
      <c r="H8" s="69">
        <v>2</v>
      </c>
      <c r="I8" s="67">
        <v>1</v>
      </c>
      <c r="J8" s="1">
        <v>72</v>
      </c>
    </row>
    <row r="9" spans="1:14" x14ac:dyDescent="0.3">
      <c r="A9" s="8">
        <v>5</v>
      </c>
      <c r="B9" s="34" t="s">
        <v>97</v>
      </c>
      <c r="C9" s="8"/>
      <c r="D9" s="8"/>
      <c r="E9" s="8"/>
      <c r="F9" s="8"/>
      <c r="G9" s="8"/>
      <c r="H9" s="69">
        <v>4</v>
      </c>
      <c r="I9" s="8"/>
      <c r="J9" s="1">
        <v>72</v>
      </c>
    </row>
    <row r="10" spans="1:14" x14ac:dyDescent="0.3">
      <c r="A10" s="8">
        <v>6</v>
      </c>
      <c r="B10" s="34" t="s">
        <v>98</v>
      </c>
      <c r="C10" s="71">
        <v>2</v>
      </c>
      <c r="D10" s="8"/>
      <c r="E10" s="8"/>
      <c r="F10" s="8"/>
      <c r="G10" s="70">
        <v>1</v>
      </c>
      <c r="H10" s="8"/>
      <c r="I10" s="67">
        <v>2</v>
      </c>
      <c r="J10" s="1">
        <v>72</v>
      </c>
    </row>
    <row r="11" spans="1:14" x14ac:dyDescent="0.3">
      <c r="A11" s="8">
        <v>7</v>
      </c>
      <c r="B11" s="34" t="s">
        <v>99</v>
      </c>
      <c r="C11" s="71">
        <v>1</v>
      </c>
      <c r="D11" s="72">
        <v>1</v>
      </c>
      <c r="E11" s="8"/>
      <c r="F11" s="68">
        <v>1</v>
      </c>
      <c r="G11" s="8"/>
      <c r="H11" s="8"/>
      <c r="I11" s="67">
        <v>2</v>
      </c>
      <c r="J11" s="1">
        <v>72</v>
      </c>
    </row>
    <row r="12" spans="1:14" x14ac:dyDescent="0.3">
      <c r="A12" s="8">
        <v>8</v>
      </c>
      <c r="B12" s="34" t="s">
        <v>100</v>
      </c>
      <c r="C12" s="71">
        <v>1</v>
      </c>
      <c r="D12" s="8"/>
      <c r="E12" s="66">
        <v>2</v>
      </c>
      <c r="F12" s="8"/>
      <c r="G12" s="8"/>
      <c r="H12" s="8"/>
      <c r="I12" s="67">
        <v>2</v>
      </c>
      <c r="J12" s="1">
        <v>72</v>
      </c>
    </row>
    <row r="13" spans="1:14" x14ac:dyDescent="0.3">
      <c r="A13" s="8">
        <v>9</v>
      </c>
      <c r="B13" s="34" t="s">
        <v>101</v>
      </c>
      <c r="C13" s="8"/>
      <c r="D13" s="72">
        <v>2</v>
      </c>
      <c r="E13" s="66">
        <v>1</v>
      </c>
      <c r="F13" s="8"/>
      <c r="G13" s="8"/>
      <c r="H13" s="8"/>
      <c r="I13" s="67">
        <v>2</v>
      </c>
      <c r="J13" s="1">
        <v>72</v>
      </c>
    </row>
    <row r="14" spans="1:14" x14ac:dyDescent="0.3">
      <c r="A14" s="8">
        <v>10</v>
      </c>
      <c r="B14" s="34" t="s">
        <v>102</v>
      </c>
      <c r="C14" s="71">
        <v>2</v>
      </c>
      <c r="D14" s="8"/>
      <c r="E14" s="8"/>
      <c r="F14" s="8"/>
      <c r="G14" s="8"/>
      <c r="H14" s="69">
        <v>2</v>
      </c>
      <c r="I14" s="67">
        <v>1</v>
      </c>
      <c r="J14" s="1">
        <v>72</v>
      </c>
    </row>
    <row r="15" spans="1:14" x14ac:dyDescent="0.3">
      <c r="A15" s="8">
        <v>11</v>
      </c>
      <c r="B15" s="34" t="s">
        <v>103</v>
      </c>
      <c r="C15" s="71">
        <v>1</v>
      </c>
      <c r="D15" s="72">
        <v>1</v>
      </c>
      <c r="E15" s="8"/>
      <c r="F15" s="8"/>
      <c r="G15" s="70">
        <v>1</v>
      </c>
      <c r="H15" s="69">
        <v>1</v>
      </c>
      <c r="I15" s="67">
        <v>1</v>
      </c>
      <c r="J15" s="1">
        <v>72</v>
      </c>
    </row>
    <row r="16" spans="1:14" x14ac:dyDescent="0.3">
      <c r="A16" s="8">
        <v>12</v>
      </c>
      <c r="B16" s="34" t="s">
        <v>104</v>
      </c>
      <c r="C16" s="71">
        <v>1</v>
      </c>
      <c r="D16" s="8"/>
      <c r="E16" s="66">
        <v>1</v>
      </c>
      <c r="F16" s="68">
        <v>1</v>
      </c>
      <c r="G16" s="8"/>
      <c r="H16" s="69">
        <v>1</v>
      </c>
      <c r="I16" s="67">
        <v>1</v>
      </c>
      <c r="J16" s="1">
        <v>72</v>
      </c>
    </row>
    <row r="17" spans="1:10" x14ac:dyDescent="0.3">
      <c r="A17" s="8">
        <v>13</v>
      </c>
      <c r="B17" s="34" t="s">
        <v>105</v>
      </c>
      <c r="C17" s="8"/>
      <c r="D17" s="72">
        <v>2</v>
      </c>
      <c r="E17" s="8"/>
      <c r="F17" s="68">
        <v>1</v>
      </c>
      <c r="G17" s="8"/>
      <c r="H17" s="69">
        <v>1</v>
      </c>
      <c r="I17" s="67">
        <v>1</v>
      </c>
      <c r="J17" s="1">
        <v>72</v>
      </c>
    </row>
    <row r="18" spans="1:10" x14ac:dyDescent="0.3">
      <c r="A18" s="8">
        <v>14</v>
      </c>
      <c r="B18" s="34" t="s">
        <v>106</v>
      </c>
      <c r="C18" s="8"/>
      <c r="D18" s="72">
        <v>1</v>
      </c>
      <c r="E18" s="66">
        <v>2</v>
      </c>
      <c r="F18" s="8"/>
      <c r="G18" s="8"/>
      <c r="H18" s="69">
        <v>1</v>
      </c>
      <c r="I18" s="67">
        <v>1</v>
      </c>
      <c r="J18" s="1">
        <v>72</v>
      </c>
    </row>
    <row r="19" spans="1:10" x14ac:dyDescent="0.3">
      <c r="A19" s="8">
        <v>15</v>
      </c>
      <c r="B19" s="34" t="s">
        <v>107</v>
      </c>
      <c r="C19" s="71">
        <v>1</v>
      </c>
      <c r="D19" s="8"/>
      <c r="E19" s="66">
        <v>1</v>
      </c>
      <c r="F19" s="8"/>
      <c r="G19" s="70">
        <v>2</v>
      </c>
      <c r="H19" s="8"/>
      <c r="I19" s="67">
        <v>1</v>
      </c>
      <c r="J19" s="1">
        <v>72</v>
      </c>
    </row>
    <row r="20" spans="1:10" x14ac:dyDescent="0.3">
      <c r="A20" s="8">
        <v>16</v>
      </c>
      <c r="B20" s="34" t="s">
        <v>108</v>
      </c>
      <c r="C20" s="8"/>
      <c r="D20" s="72">
        <v>2</v>
      </c>
      <c r="E20" s="8"/>
      <c r="F20" s="8"/>
      <c r="G20" s="70">
        <v>2</v>
      </c>
      <c r="H20" s="8"/>
      <c r="I20" s="67">
        <v>1</v>
      </c>
      <c r="J20" s="1">
        <v>72</v>
      </c>
    </row>
    <row r="21" spans="1:10" x14ac:dyDescent="0.3">
      <c r="A21" s="8">
        <v>17</v>
      </c>
      <c r="B21" s="34" t="s">
        <v>109</v>
      </c>
      <c r="C21" s="71">
        <v>1</v>
      </c>
      <c r="D21" s="8"/>
      <c r="E21" s="8"/>
      <c r="F21" s="68">
        <v>2</v>
      </c>
      <c r="G21" s="70">
        <v>1</v>
      </c>
      <c r="H21" s="8"/>
      <c r="I21" s="67">
        <v>1</v>
      </c>
      <c r="J21" s="1">
        <v>72</v>
      </c>
    </row>
    <row r="22" spans="1:10" x14ac:dyDescent="0.3">
      <c r="A22" s="8">
        <v>18</v>
      </c>
      <c r="B22" s="34" t="s">
        <v>110</v>
      </c>
      <c r="C22" s="8"/>
      <c r="D22" s="72">
        <v>1</v>
      </c>
      <c r="E22" s="66">
        <v>1</v>
      </c>
      <c r="F22" s="68">
        <v>1</v>
      </c>
      <c r="G22" s="70">
        <v>1</v>
      </c>
      <c r="H22" s="8"/>
      <c r="I22" s="67">
        <v>1</v>
      </c>
      <c r="J22" s="1">
        <v>72</v>
      </c>
    </row>
    <row r="23" spans="1:10" x14ac:dyDescent="0.3">
      <c r="A23" s="8">
        <v>19</v>
      </c>
      <c r="B23" s="34" t="s">
        <v>111</v>
      </c>
      <c r="C23" s="8"/>
      <c r="D23" s="8"/>
      <c r="E23" s="66">
        <v>3</v>
      </c>
      <c r="F23" s="8"/>
      <c r="G23" s="70">
        <v>1</v>
      </c>
      <c r="H23" s="8"/>
      <c r="I23" s="67">
        <v>1</v>
      </c>
      <c r="J23" s="1">
        <v>72</v>
      </c>
    </row>
    <row r="24" spans="1:10" x14ac:dyDescent="0.3">
      <c r="A24" s="8">
        <v>20</v>
      </c>
      <c r="B24" s="34" t="s">
        <v>112</v>
      </c>
      <c r="C24" s="8"/>
      <c r="D24" s="72">
        <v>1</v>
      </c>
      <c r="E24" s="8"/>
      <c r="F24" s="68">
        <v>3</v>
      </c>
      <c r="G24" s="8"/>
      <c r="H24" s="8"/>
      <c r="I24" s="67">
        <v>1</v>
      </c>
      <c r="J24" s="1">
        <v>72</v>
      </c>
    </row>
    <row r="25" spans="1:10" x14ac:dyDescent="0.3">
      <c r="A25" s="8">
        <v>21</v>
      </c>
      <c r="B25" s="34" t="s">
        <v>113</v>
      </c>
      <c r="C25" s="8"/>
      <c r="D25" s="8"/>
      <c r="E25" s="66">
        <v>2</v>
      </c>
      <c r="F25" s="68">
        <v>2</v>
      </c>
      <c r="G25" s="8"/>
      <c r="H25" s="8"/>
      <c r="I25" s="67">
        <v>1</v>
      </c>
      <c r="J25" s="1">
        <v>72</v>
      </c>
    </row>
    <row r="26" spans="1:10" x14ac:dyDescent="0.3">
      <c r="A26" s="8">
        <v>22</v>
      </c>
      <c r="B26" s="34" t="s">
        <v>114</v>
      </c>
      <c r="C26" s="71">
        <v>1</v>
      </c>
      <c r="D26" s="72">
        <v>1</v>
      </c>
      <c r="E26" s="8"/>
      <c r="F26" s="8"/>
      <c r="G26" s="8"/>
      <c r="H26" s="69">
        <v>3</v>
      </c>
      <c r="I26" s="8"/>
      <c r="J26" s="1">
        <v>72</v>
      </c>
    </row>
    <row r="27" spans="1:10" x14ac:dyDescent="0.3">
      <c r="A27" s="8">
        <v>23</v>
      </c>
      <c r="B27" s="34" t="s">
        <v>115</v>
      </c>
      <c r="C27" s="71">
        <v>1</v>
      </c>
      <c r="D27" s="8"/>
      <c r="E27" s="66">
        <v>1</v>
      </c>
      <c r="F27" s="8"/>
      <c r="G27" s="70">
        <v>1</v>
      </c>
      <c r="H27" s="69">
        <v>2</v>
      </c>
      <c r="I27" s="8"/>
      <c r="J27" s="1">
        <v>72</v>
      </c>
    </row>
    <row r="28" spans="1:10" x14ac:dyDescent="0.3">
      <c r="A28" s="8">
        <v>24</v>
      </c>
      <c r="B28" s="34" t="s">
        <v>116</v>
      </c>
      <c r="C28" s="8"/>
      <c r="D28" s="72">
        <v>2</v>
      </c>
      <c r="E28" s="8"/>
      <c r="F28" s="8"/>
      <c r="G28" s="70">
        <v>1</v>
      </c>
      <c r="H28" s="69">
        <v>2</v>
      </c>
      <c r="I28" s="8"/>
      <c r="J28" s="1">
        <v>72</v>
      </c>
    </row>
    <row r="29" spans="1:10" x14ac:dyDescent="0.3">
      <c r="A29" s="8">
        <v>25</v>
      </c>
      <c r="B29" s="34" t="s">
        <v>117</v>
      </c>
      <c r="C29" s="71">
        <v>1</v>
      </c>
      <c r="D29" s="8"/>
      <c r="E29" s="8"/>
      <c r="F29" s="68">
        <v>2</v>
      </c>
      <c r="G29" s="8"/>
      <c r="H29" s="69">
        <v>2</v>
      </c>
      <c r="I29" s="8"/>
      <c r="J29" s="1">
        <v>72</v>
      </c>
    </row>
    <row r="30" spans="1:10" x14ac:dyDescent="0.3">
      <c r="A30" s="8">
        <v>26</v>
      </c>
      <c r="B30" s="34" t="s">
        <v>118</v>
      </c>
      <c r="C30" s="8"/>
      <c r="D30" s="72">
        <v>1</v>
      </c>
      <c r="E30" s="66">
        <v>1</v>
      </c>
      <c r="F30" s="68">
        <v>1</v>
      </c>
      <c r="G30" s="8"/>
      <c r="H30" s="69">
        <v>2</v>
      </c>
      <c r="I30" s="8"/>
      <c r="J30" s="1">
        <v>72</v>
      </c>
    </row>
    <row r="31" spans="1:10" x14ac:dyDescent="0.3">
      <c r="A31" s="8">
        <v>27</v>
      </c>
      <c r="B31" s="34" t="s">
        <v>119</v>
      </c>
      <c r="C31" s="8"/>
      <c r="D31" s="8"/>
      <c r="E31" s="66">
        <v>3</v>
      </c>
      <c r="F31" s="8"/>
      <c r="G31" s="8"/>
      <c r="H31" s="69">
        <v>2</v>
      </c>
      <c r="I31" s="8"/>
      <c r="J31" s="1">
        <v>72</v>
      </c>
    </row>
    <row r="32" spans="1:10" x14ac:dyDescent="0.3">
      <c r="A32" s="8">
        <v>28</v>
      </c>
      <c r="B32" s="34" t="s">
        <v>120</v>
      </c>
      <c r="C32" s="71">
        <v>1</v>
      </c>
      <c r="D32" s="8"/>
      <c r="E32" s="8"/>
      <c r="F32" s="68">
        <v>1</v>
      </c>
      <c r="G32" s="70">
        <v>2</v>
      </c>
      <c r="H32" s="69">
        <v>1</v>
      </c>
      <c r="I32" s="8"/>
      <c r="J32" s="1">
        <v>72</v>
      </c>
    </row>
    <row r="33" spans="1:10" x14ac:dyDescent="0.3">
      <c r="A33" s="8">
        <v>29</v>
      </c>
      <c r="B33" s="34" t="s">
        <v>121</v>
      </c>
      <c r="C33" s="8"/>
      <c r="D33" s="72">
        <v>1</v>
      </c>
      <c r="E33" s="66">
        <v>1</v>
      </c>
      <c r="F33" s="8"/>
      <c r="G33" s="70">
        <v>2</v>
      </c>
      <c r="H33" s="69">
        <v>1</v>
      </c>
      <c r="I33" s="8"/>
      <c r="J33" s="1">
        <v>72</v>
      </c>
    </row>
    <row r="34" spans="1:10" x14ac:dyDescent="0.3">
      <c r="A34" s="8">
        <v>30</v>
      </c>
      <c r="B34" s="34" t="s">
        <v>122</v>
      </c>
      <c r="C34" s="8"/>
      <c r="D34" s="72">
        <v>1</v>
      </c>
      <c r="E34" s="8"/>
      <c r="F34" s="68">
        <v>2</v>
      </c>
      <c r="G34" s="70">
        <v>1</v>
      </c>
      <c r="H34" s="69">
        <v>1</v>
      </c>
      <c r="I34" s="8"/>
      <c r="J34" s="1">
        <v>72</v>
      </c>
    </row>
    <row r="35" spans="1:10" x14ac:dyDescent="0.3">
      <c r="A35" s="8">
        <v>31</v>
      </c>
      <c r="B35" s="34" t="s">
        <v>123</v>
      </c>
      <c r="C35" s="8"/>
      <c r="D35" s="8"/>
      <c r="E35" s="66">
        <v>2</v>
      </c>
      <c r="F35" s="68">
        <v>1</v>
      </c>
      <c r="G35" s="70">
        <v>1</v>
      </c>
      <c r="H35" s="69">
        <v>1</v>
      </c>
      <c r="I35" s="8"/>
      <c r="J35" s="1">
        <v>72</v>
      </c>
    </row>
    <row r="36" spans="1:10" x14ac:dyDescent="0.3">
      <c r="A36" s="8">
        <v>32</v>
      </c>
      <c r="B36" s="34" t="s">
        <v>124</v>
      </c>
      <c r="C36" s="8"/>
      <c r="D36" s="8"/>
      <c r="E36" s="66">
        <v>1</v>
      </c>
      <c r="F36" s="68">
        <v>3</v>
      </c>
      <c r="G36" s="8"/>
      <c r="H36" s="69">
        <v>1</v>
      </c>
      <c r="I36" s="8"/>
      <c r="J36" s="1">
        <v>72</v>
      </c>
    </row>
    <row r="37" spans="1:10" x14ac:dyDescent="0.3">
      <c r="A37" s="8">
        <v>33</v>
      </c>
      <c r="B37" s="34" t="s">
        <v>125</v>
      </c>
      <c r="C37" s="71">
        <v>1</v>
      </c>
      <c r="D37" s="8"/>
      <c r="E37" s="8"/>
      <c r="F37" s="8"/>
      <c r="G37" s="70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126</v>
      </c>
      <c r="C38" s="8"/>
      <c r="D38" s="72">
        <v>1</v>
      </c>
      <c r="E38" s="8"/>
      <c r="F38" s="68">
        <v>1</v>
      </c>
      <c r="G38" s="70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127</v>
      </c>
      <c r="C39" s="8"/>
      <c r="D39" s="8"/>
      <c r="E39" s="66">
        <v>2</v>
      </c>
      <c r="F39" s="8"/>
      <c r="G39" s="70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128</v>
      </c>
      <c r="C40" s="8"/>
      <c r="D40" s="8"/>
      <c r="E40" s="66">
        <v>1</v>
      </c>
      <c r="F40" s="68">
        <v>2</v>
      </c>
      <c r="G40" s="70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129</v>
      </c>
      <c r="C41" s="8"/>
      <c r="D41" s="8"/>
      <c r="E41" s="8"/>
      <c r="F41" s="68">
        <v>4</v>
      </c>
      <c r="G41" s="70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130</v>
      </c>
      <c r="C42" s="71">
        <v>4</v>
      </c>
      <c r="D42" s="8"/>
      <c r="E42" s="8"/>
      <c r="F42" s="8"/>
      <c r="G42" s="8"/>
      <c r="H42" s="8"/>
      <c r="I42" s="67">
        <v>2</v>
      </c>
      <c r="J42" s="1">
        <v>72</v>
      </c>
    </row>
    <row r="43" spans="1:10" x14ac:dyDescent="0.3">
      <c r="A43" s="8">
        <v>39</v>
      </c>
      <c r="B43" s="34" t="s">
        <v>131</v>
      </c>
      <c r="C43" s="71">
        <v>3</v>
      </c>
      <c r="D43" s="72">
        <v>1</v>
      </c>
      <c r="E43" s="8"/>
      <c r="F43" s="8"/>
      <c r="G43" s="8"/>
      <c r="H43" s="69">
        <v>1</v>
      </c>
      <c r="I43" s="67">
        <v>1</v>
      </c>
      <c r="J43" s="1">
        <v>72</v>
      </c>
    </row>
    <row r="44" spans="1:10" x14ac:dyDescent="0.3">
      <c r="A44" s="8">
        <v>40</v>
      </c>
      <c r="B44" s="34" t="s">
        <v>132</v>
      </c>
      <c r="C44" s="71">
        <v>3</v>
      </c>
      <c r="D44" s="8"/>
      <c r="E44" s="66">
        <v>1</v>
      </c>
      <c r="F44" s="8"/>
      <c r="G44" s="70">
        <v>1</v>
      </c>
      <c r="H44" s="8"/>
      <c r="I44" s="67">
        <v>1</v>
      </c>
      <c r="J44" s="1">
        <v>72</v>
      </c>
    </row>
    <row r="45" spans="1:10" x14ac:dyDescent="0.3">
      <c r="A45" s="8">
        <v>41</v>
      </c>
      <c r="B45" s="34" t="s">
        <v>133</v>
      </c>
      <c r="C45" s="71">
        <v>2</v>
      </c>
      <c r="D45" s="72">
        <v>2</v>
      </c>
      <c r="E45" s="8"/>
      <c r="F45" s="8"/>
      <c r="G45" s="70">
        <v>1</v>
      </c>
      <c r="H45" s="8"/>
      <c r="I45" s="67">
        <v>1</v>
      </c>
      <c r="J45" s="1">
        <v>72</v>
      </c>
    </row>
    <row r="46" spans="1:10" x14ac:dyDescent="0.3">
      <c r="A46" s="8">
        <v>42</v>
      </c>
      <c r="B46" s="34" t="s">
        <v>134</v>
      </c>
      <c r="C46" s="71">
        <v>3</v>
      </c>
      <c r="D46" s="8"/>
      <c r="E46" s="8"/>
      <c r="F46" s="68">
        <v>2</v>
      </c>
      <c r="G46" s="8"/>
      <c r="H46" s="8"/>
      <c r="I46" s="67">
        <v>1</v>
      </c>
      <c r="J46" s="1">
        <v>72</v>
      </c>
    </row>
    <row r="47" spans="1:10" x14ac:dyDescent="0.3">
      <c r="A47" s="8">
        <v>43</v>
      </c>
      <c r="B47" s="34" t="s">
        <v>135</v>
      </c>
      <c r="C47" s="71">
        <v>2</v>
      </c>
      <c r="D47" s="72">
        <v>1</v>
      </c>
      <c r="E47" s="66">
        <v>1</v>
      </c>
      <c r="F47" s="68">
        <v>1</v>
      </c>
      <c r="G47" s="8"/>
      <c r="H47" s="8"/>
      <c r="I47" s="67">
        <v>1</v>
      </c>
      <c r="J47" s="1">
        <v>72</v>
      </c>
    </row>
    <row r="48" spans="1:10" x14ac:dyDescent="0.3">
      <c r="A48" s="8">
        <v>44</v>
      </c>
      <c r="B48" s="34" t="s">
        <v>136</v>
      </c>
      <c r="C48" s="71">
        <v>1</v>
      </c>
      <c r="D48" s="72">
        <v>3</v>
      </c>
      <c r="E48" s="8"/>
      <c r="F48" s="68">
        <v>1</v>
      </c>
      <c r="G48" s="8"/>
      <c r="H48" s="8"/>
      <c r="I48" s="67">
        <v>1</v>
      </c>
      <c r="J48" s="1">
        <v>72</v>
      </c>
    </row>
    <row r="49" spans="1:10" x14ac:dyDescent="0.3">
      <c r="A49" s="8">
        <v>45</v>
      </c>
      <c r="B49" s="34" t="s">
        <v>137</v>
      </c>
      <c r="C49" s="71">
        <v>2</v>
      </c>
      <c r="D49" s="8"/>
      <c r="E49" s="66">
        <v>3</v>
      </c>
      <c r="F49" s="8"/>
      <c r="G49" s="8"/>
      <c r="H49" s="8"/>
      <c r="I49" s="67">
        <v>1</v>
      </c>
      <c r="J49" s="1">
        <v>72</v>
      </c>
    </row>
    <row r="50" spans="1:10" x14ac:dyDescent="0.3">
      <c r="A50" s="8">
        <v>46</v>
      </c>
      <c r="B50" s="34" t="s">
        <v>138</v>
      </c>
      <c r="C50" s="71">
        <v>1</v>
      </c>
      <c r="D50" s="72">
        <v>2</v>
      </c>
      <c r="E50" s="66">
        <v>2</v>
      </c>
      <c r="F50" s="8"/>
      <c r="G50" s="8"/>
      <c r="H50" s="8"/>
      <c r="I50" s="67">
        <v>1</v>
      </c>
      <c r="J50" s="1">
        <v>72</v>
      </c>
    </row>
    <row r="51" spans="1:10" x14ac:dyDescent="0.3">
      <c r="A51" s="8">
        <v>47</v>
      </c>
      <c r="B51" s="34" t="s">
        <v>139</v>
      </c>
      <c r="C51" s="8"/>
      <c r="D51" s="72">
        <v>4</v>
      </c>
      <c r="E51" s="66">
        <v>1</v>
      </c>
      <c r="F51" s="8"/>
      <c r="G51" s="8"/>
      <c r="H51" s="8"/>
      <c r="I51" s="67">
        <v>1</v>
      </c>
      <c r="J51" s="1">
        <v>72</v>
      </c>
    </row>
    <row r="52" spans="1:10" x14ac:dyDescent="0.3">
      <c r="A52" s="8">
        <v>48</v>
      </c>
      <c r="B52" s="34" t="s">
        <v>140</v>
      </c>
      <c r="C52" s="71">
        <v>3</v>
      </c>
      <c r="D52" s="8"/>
      <c r="E52" s="66">
        <v>1</v>
      </c>
      <c r="F52" s="8"/>
      <c r="G52" s="8"/>
      <c r="H52" s="69">
        <v>2</v>
      </c>
      <c r="I52" s="8"/>
      <c r="J52" s="1">
        <v>72</v>
      </c>
    </row>
    <row r="53" spans="1:10" x14ac:dyDescent="0.3">
      <c r="A53" s="8">
        <v>49</v>
      </c>
      <c r="B53" s="34" t="s">
        <v>141</v>
      </c>
      <c r="C53" s="71">
        <v>2</v>
      </c>
      <c r="D53" s="72">
        <v>2</v>
      </c>
      <c r="E53" s="8"/>
      <c r="F53" s="8"/>
      <c r="G53" s="8"/>
      <c r="H53" s="69">
        <v>2</v>
      </c>
      <c r="I53" s="8"/>
      <c r="J53" s="1">
        <v>72</v>
      </c>
    </row>
    <row r="54" spans="1:10" x14ac:dyDescent="0.3">
      <c r="A54" s="8">
        <v>50</v>
      </c>
      <c r="B54" s="34" t="s">
        <v>142</v>
      </c>
      <c r="C54" s="71">
        <v>3</v>
      </c>
      <c r="D54" s="8"/>
      <c r="E54" s="8"/>
      <c r="F54" s="68">
        <v>1</v>
      </c>
      <c r="G54" s="70">
        <v>1</v>
      </c>
      <c r="H54" s="69">
        <v>1</v>
      </c>
      <c r="I54" s="8"/>
      <c r="J54" s="1">
        <v>72</v>
      </c>
    </row>
    <row r="55" spans="1:10" x14ac:dyDescent="0.3">
      <c r="A55" s="8">
        <v>51</v>
      </c>
      <c r="B55" s="34" t="s">
        <v>143</v>
      </c>
      <c r="C55" s="71">
        <v>2</v>
      </c>
      <c r="D55" s="72">
        <v>1</v>
      </c>
      <c r="E55" s="66">
        <v>1</v>
      </c>
      <c r="F55" s="8"/>
      <c r="G55" s="70">
        <v>1</v>
      </c>
      <c r="H55" s="69">
        <v>1</v>
      </c>
      <c r="I55" s="8"/>
      <c r="J55" s="1">
        <v>72</v>
      </c>
    </row>
    <row r="56" spans="1:10" x14ac:dyDescent="0.3">
      <c r="A56" s="8">
        <v>52</v>
      </c>
      <c r="B56" s="34" t="s">
        <v>144</v>
      </c>
      <c r="C56" s="71">
        <v>1</v>
      </c>
      <c r="D56" s="72">
        <v>3</v>
      </c>
      <c r="E56" s="8"/>
      <c r="F56" s="8"/>
      <c r="G56" s="70">
        <v>1</v>
      </c>
      <c r="H56" s="69">
        <v>1</v>
      </c>
      <c r="I56" s="8"/>
      <c r="J56" s="1">
        <v>72</v>
      </c>
    </row>
    <row r="57" spans="1:10" x14ac:dyDescent="0.3">
      <c r="A57" s="8">
        <v>53</v>
      </c>
      <c r="B57" s="34" t="s">
        <v>145</v>
      </c>
      <c r="C57" s="71">
        <v>2</v>
      </c>
      <c r="D57" s="72">
        <v>1</v>
      </c>
      <c r="E57" s="8"/>
      <c r="F57" s="68">
        <v>2</v>
      </c>
      <c r="G57" s="8"/>
      <c r="H57" s="69">
        <v>1</v>
      </c>
      <c r="I57" s="8"/>
      <c r="J57" s="1">
        <v>72</v>
      </c>
    </row>
    <row r="58" spans="1:10" x14ac:dyDescent="0.3">
      <c r="A58" s="8">
        <v>54</v>
      </c>
      <c r="B58" s="34" t="s">
        <v>146</v>
      </c>
      <c r="C58" s="71">
        <v>2</v>
      </c>
      <c r="D58" s="8"/>
      <c r="E58" s="66">
        <v>2</v>
      </c>
      <c r="F58" s="68">
        <v>1</v>
      </c>
      <c r="G58" s="8"/>
      <c r="H58" s="69">
        <v>1</v>
      </c>
      <c r="I58" s="8"/>
      <c r="J58" s="1">
        <v>72</v>
      </c>
    </row>
    <row r="59" spans="1:10" x14ac:dyDescent="0.3">
      <c r="A59" s="8">
        <v>55</v>
      </c>
      <c r="B59" s="34" t="s">
        <v>147</v>
      </c>
      <c r="C59" s="71">
        <v>1</v>
      </c>
      <c r="D59" s="72">
        <v>2</v>
      </c>
      <c r="E59" s="66">
        <v>1</v>
      </c>
      <c r="F59" s="68">
        <v>1</v>
      </c>
      <c r="G59" s="8"/>
      <c r="H59" s="69">
        <v>1</v>
      </c>
      <c r="I59" s="8"/>
      <c r="J59" s="1">
        <v>72</v>
      </c>
    </row>
    <row r="60" spans="1:10" x14ac:dyDescent="0.3">
      <c r="A60" s="8">
        <v>56</v>
      </c>
      <c r="B60" s="34" t="s">
        <v>148</v>
      </c>
      <c r="C60" s="8"/>
      <c r="D60" s="72">
        <v>4</v>
      </c>
      <c r="E60" s="8"/>
      <c r="F60" s="68">
        <v>1</v>
      </c>
      <c r="G60" s="8"/>
      <c r="H60" s="69">
        <v>1</v>
      </c>
      <c r="I60" s="8"/>
      <c r="J60" s="1">
        <v>72</v>
      </c>
    </row>
    <row r="61" spans="1:10" x14ac:dyDescent="0.3">
      <c r="A61" s="8">
        <v>57</v>
      </c>
      <c r="B61" s="34" t="s">
        <v>149</v>
      </c>
      <c r="C61" s="71">
        <v>1</v>
      </c>
      <c r="D61" s="72">
        <v>1</v>
      </c>
      <c r="E61" s="66">
        <v>3</v>
      </c>
      <c r="F61" s="8"/>
      <c r="G61" s="8"/>
      <c r="H61" s="69">
        <v>1</v>
      </c>
      <c r="I61" s="8"/>
      <c r="J61" s="1">
        <v>72</v>
      </c>
    </row>
    <row r="62" spans="1:10" x14ac:dyDescent="0.3">
      <c r="A62" s="8">
        <v>58</v>
      </c>
      <c r="B62" s="34" t="s">
        <v>150</v>
      </c>
      <c r="C62" s="8"/>
      <c r="D62" s="72">
        <v>3</v>
      </c>
      <c r="E62" s="66">
        <v>2</v>
      </c>
      <c r="F62" s="8"/>
      <c r="G62" s="8"/>
      <c r="H62" s="69">
        <v>1</v>
      </c>
      <c r="I62" s="8"/>
      <c r="J62" s="1">
        <v>72</v>
      </c>
    </row>
    <row r="63" spans="1:10" x14ac:dyDescent="0.3">
      <c r="A63" s="8">
        <v>59</v>
      </c>
      <c r="B63" s="34" t="s">
        <v>151</v>
      </c>
      <c r="C63" s="71">
        <v>3</v>
      </c>
      <c r="D63" s="8"/>
      <c r="E63" s="8"/>
      <c r="F63" s="8"/>
      <c r="G63" s="70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152</v>
      </c>
      <c r="C64" s="71">
        <v>2</v>
      </c>
      <c r="D64" s="72">
        <v>1</v>
      </c>
      <c r="E64" s="8"/>
      <c r="F64" s="68">
        <v>1</v>
      </c>
      <c r="G64" s="70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153</v>
      </c>
      <c r="C65" s="71">
        <v>2</v>
      </c>
      <c r="D65" s="8"/>
      <c r="E65" s="66">
        <v>2</v>
      </c>
      <c r="F65" s="8"/>
      <c r="G65" s="70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154</v>
      </c>
      <c r="C66" s="71">
        <v>1</v>
      </c>
      <c r="D66" s="72">
        <v>2</v>
      </c>
      <c r="E66" s="66">
        <v>1</v>
      </c>
      <c r="F66" s="8"/>
      <c r="G66" s="70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155</v>
      </c>
      <c r="C67" s="8"/>
      <c r="D67" s="72">
        <v>4</v>
      </c>
      <c r="E67" s="8"/>
      <c r="F67" s="8"/>
      <c r="G67" s="70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156</v>
      </c>
      <c r="C68" s="71">
        <v>2</v>
      </c>
      <c r="D68" s="8"/>
      <c r="E68" s="66">
        <v>1</v>
      </c>
      <c r="F68" s="68">
        <v>2</v>
      </c>
      <c r="G68" s="70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157</v>
      </c>
      <c r="C69" s="71">
        <v>1</v>
      </c>
      <c r="D69" s="72">
        <v>2</v>
      </c>
      <c r="E69" s="8"/>
      <c r="F69" s="68">
        <v>2</v>
      </c>
      <c r="G69" s="70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158</v>
      </c>
      <c r="C70" s="71">
        <v>1</v>
      </c>
      <c r="D70" s="72">
        <v>1</v>
      </c>
      <c r="E70" s="66">
        <v>2</v>
      </c>
      <c r="F70" s="68">
        <v>1</v>
      </c>
      <c r="G70" s="70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159</v>
      </c>
      <c r="C71" s="8"/>
      <c r="D71" s="72">
        <v>3</v>
      </c>
      <c r="E71" s="66">
        <v>1</v>
      </c>
      <c r="F71" s="68">
        <v>1</v>
      </c>
      <c r="G71" s="70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160</v>
      </c>
      <c r="C72" s="71">
        <v>1</v>
      </c>
      <c r="D72" s="8"/>
      <c r="E72" s="66">
        <v>4</v>
      </c>
      <c r="F72" s="8"/>
      <c r="G72" s="70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161</v>
      </c>
      <c r="C73" s="8"/>
      <c r="D73" s="72">
        <v>2</v>
      </c>
      <c r="E73" s="66">
        <v>3</v>
      </c>
      <c r="F73" s="8"/>
      <c r="G73" s="70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162</v>
      </c>
      <c r="C74" s="71">
        <v>2</v>
      </c>
      <c r="D74" s="8"/>
      <c r="E74" s="8"/>
      <c r="F74" s="68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163</v>
      </c>
      <c r="C75" s="71">
        <v>1</v>
      </c>
      <c r="D75" s="72">
        <v>1</v>
      </c>
      <c r="E75" s="66">
        <v>1</v>
      </c>
      <c r="F75" s="68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164</v>
      </c>
      <c r="C76" s="8"/>
      <c r="D76" s="72">
        <v>3</v>
      </c>
      <c r="E76" s="8"/>
      <c r="F76" s="68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165</v>
      </c>
      <c r="C77" s="71">
        <v>1</v>
      </c>
      <c r="D77" s="8"/>
      <c r="E77" s="66">
        <v>3</v>
      </c>
      <c r="F77" s="68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166</v>
      </c>
      <c r="C78" s="8"/>
      <c r="D78" s="72">
        <v>2</v>
      </c>
      <c r="E78" s="66">
        <v>2</v>
      </c>
      <c r="F78" s="68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167</v>
      </c>
      <c r="C79" s="8"/>
      <c r="D79" s="72">
        <v>1</v>
      </c>
      <c r="E79" s="66">
        <v>4</v>
      </c>
      <c r="F79" s="68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168</v>
      </c>
      <c r="C80" s="8"/>
      <c r="D80" s="8"/>
      <c r="E80" s="66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169</v>
      </c>
      <c r="C81" s="71">
        <v>5</v>
      </c>
      <c r="D81" s="8"/>
      <c r="E81" s="66">
        <v>1</v>
      </c>
      <c r="F81" s="8"/>
      <c r="G81" s="8"/>
      <c r="H81" s="8"/>
      <c r="I81" s="67">
        <v>1</v>
      </c>
      <c r="J81" s="1">
        <v>72</v>
      </c>
    </row>
    <row r="82" spans="1:10" x14ac:dyDescent="0.3">
      <c r="A82" s="8">
        <v>78</v>
      </c>
      <c r="B82" s="34" t="s">
        <v>170</v>
      </c>
      <c r="C82" s="71">
        <v>4</v>
      </c>
      <c r="D82" s="72">
        <v>2</v>
      </c>
      <c r="E82" s="8"/>
      <c r="F82" s="8"/>
      <c r="G82" s="8"/>
      <c r="H82" s="8"/>
      <c r="I82" s="67">
        <v>1</v>
      </c>
      <c r="J82" s="1">
        <v>72</v>
      </c>
    </row>
    <row r="83" spans="1:10" x14ac:dyDescent="0.3">
      <c r="A83" s="8">
        <v>79</v>
      </c>
      <c r="B83" s="34" t="s">
        <v>171</v>
      </c>
      <c r="C83" s="71">
        <v>5</v>
      </c>
      <c r="D83" s="8"/>
      <c r="E83" s="8"/>
      <c r="F83" s="68">
        <v>1</v>
      </c>
      <c r="G83" s="8"/>
      <c r="H83" s="69">
        <v>1</v>
      </c>
      <c r="I83" s="8"/>
      <c r="J83" s="1">
        <v>72</v>
      </c>
    </row>
    <row r="84" spans="1:10" x14ac:dyDescent="0.3">
      <c r="A84" s="8">
        <v>80</v>
      </c>
      <c r="B84" s="34" t="s">
        <v>172</v>
      </c>
      <c r="C84" s="71">
        <v>4</v>
      </c>
      <c r="D84" s="72">
        <v>1</v>
      </c>
      <c r="E84" s="66">
        <v>1</v>
      </c>
      <c r="F84" s="8"/>
      <c r="G84" s="8"/>
      <c r="H84" s="69">
        <v>1</v>
      </c>
      <c r="I84" s="8"/>
      <c r="J84" s="1">
        <v>72</v>
      </c>
    </row>
    <row r="85" spans="1:10" x14ac:dyDescent="0.3">
      <c r="A85" s="8">
        <v>81</v>
      </c>
      <c r="B85" s="34" t="s">
        <v>173</v>
      </c>
      <c r="C85" s="71">
        <v>3</v>
      </c>
      <c r="D85" s="72">
        <v>3</v>
      </c>
      <c r="E85" s="8"/>
      <c r="F85" s="8"/>
      <c r="G85" s="8"/>
      <c r="H85" s="69">
        <v>1</v>
      </c>
      <c r="I85" s="8"/>
      <c r="J85" s="1">
        <v>72</v>
      </c>
    </row>
    <row r="86" spans="1:10" x14ac:dyDescent="0.3">
      <c r="A86" s="8">
        <v>82</v>
      </c>
      <c r="B86" s="34" t="s">
        <v>174</v>
      </c>
      <c r="C86" s="71">
        <v>5</v>
      </c>
      <c r="D86" s="8"/>
      <c r="E86" s="8"/>
      <c r="F86" s="8"/>
      <c r="G86" s="70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175</v>
      </c>
      <c r="C87" s="71">
        <v>4</v>
      </c>
      <c r="D87" s="72">
        <v>1</v>
      </c>
      <c r="E87" s="8"/>
      <c r="F87" s="68">
        <v>1</v>
      </c>
      <c r="G87" s="70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176</v>
      </c>
      <c r="C88" s="71">
        <v>4</v>
      </c>
      <c r="D88" s="8"/>
      <c r="E88" s="66">
        <v>2</v>
      </c>
      <c r="F88" s="8"/>
      <c r="G88" s="70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177</v>
      </c>
      <c r="C89" s="71">
        <v>3</v>
      </c>
      <c r="D89" s="72">
        <v>2</v>
      </c>
      <c r="E89" s="66">
        <v>1</v>
      </c>
      <c r="F89" s="8"/>
      <c r="G89" s="70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178</v>
      </c>
      <c r="C90" s="71">
        <v>2</v>
      </c>
      <c r="D90" s="72">
        <v>4</v>
      </c>
      <c r="E90" s="8"/>
      <c r="F90" s="8"/>
      <c r="G90" s="70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179</v>
      </c>
      <c r="C91" s="71">
        <v>4</v>
      </c>
      <c r="D91" s="8"/>
      <c r="E91" s="66">
        <v>1</v>
      </c>
      <c r="F91" s="68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180</v>
      </c>
      <c r="C92" s="71">
        <v>3</v>
      </c>
      <c r="D92" s="72">
        <v>2</v>
      </c>
      <c r="E92" s="8"/>
      <c r="F92" s="68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181</v>
      </c>
      <c r="C93" s="71">
        <v>3</v>
      </c>
      <c r="D93" s="72">
        <v>1</v>
      </c>
      <c r="E93" s="66">
        <v>2</v>
      </c>
      <c r="F93" s="68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182</v>
      </c>
      <c r="C94" s="71">
        <v>2</v>
      </c>
      <c r="D94" s="72">
        <v>3</v>
      </c>
      <c r="E94" s="66">
        <v>1</v>
      </c>
      <c r="F94" s="68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183</v>
      </c>
      <c r="C95" s="71">
        <v>1</v>
      </c>
      <c r="D95" s="72">
        <v>5</v>
      </c>
      <c r="E95" s="8"/>
      <c r="F95" s="68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184</v>
      </c>
      <c r="C96" s="71">
        <v>3</v>
      </c>
      <c r="D96" s="8"/>
      <c r="E96" s="66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185</v>
      </c>
      <c r="C97" s="71">
        <v>2</v>
      </c>
      <c r="D97" s="72">
        <v>2</v>
      </c>
      <c r="E97" s="66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186</v>
      </c>
      <c r="C98" s="71">
        <v>1</v>
      </c>
      <c r="D98" s="72">
        <v>4</v>
      </c>
      <c r="E98" s="66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187</v>
      </c>
      <c r="C99" s="8"/>
      <c r="D99" s="72">
        <v>6</v>
      </c>
      <c r="E99" s="66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188</v>
      </c>
      <c r="C100" s="71">
        <v>7</v>
      </c>
      <c r="D100" s="8"/>
      <c r="E100" s="8"/>
      <c r="F100" s="8"/>
      <c r="G100" s="70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189</v>
      </c>
      <c r="C101" s="71">
        <v>6</v>
      </c>
      <c r="D101" s="72">
        <v>1</v>
      </c>
      <c r="E101" s="8"/>
      <c r="F101" s="68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190</v>
      </c>
      <c r="C102" s="71">
        <v>6</v>
      </c>
      <c r="D102" s="8"/>
      <c r="E102" s="66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191</v>
      </c>
      <c r="C103" s="71">
        <v>5</v>
      </c>
      <c r="D103" s="72">
        <v>2</v>
      </c>
      <c r="E103" s="66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192</v>
      </c>
      <c r="C104" s="71">
        <v>4</v>
      </c>
      <c r="D104" s="72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193</v>
      </c>
      <c r="C105" s="71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194</v>
      </c>
      <c r="C107" s="46" t="s">
        <v>59</v>
      </c>
      <c r="D107" s="47" t="s">
        <v>60</v>
      </c>
      <c r="E107" s="48" t="s">
        <v>61</v>
      </c>
      <c r="F107" s="49" t="s">
        <v>62</v>
      </c>
      <c r="G107" s="50" t="s">
        <v>63</v>
      </c>
      <c r="H107" s="51" t="s">
        <v>64</v>
      </c>
      <c r="I107" s="52" t="s">
        <v>65</v>
      </c>
    </row>
  </sheetData>
  <mergeCells count="2">
    <mergeCell ref="A1:K1"/>
    <mergeCell ref="A2:K2"/>
  </mergeCells>
  <conditionalFormatting sqref="A5:J107">
    <cfRule type="expression" dxfId="0" priority="1" stopIfTrue="1">
      <formula>ROW()=$N$1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16" t="s">
        <v>195</v>
      </c>
      <c r="B1" s="116"/>
      <c r="C1" s="116"/>
      <c r="D1" s="116"/>
      <c r="E1" s="116"/>
      <c r="F1" s="116"/>
      <c r="G1" s="116"/>
      <c r="H1" s="116"/>
    </row>
    <row r="3" spans="1:8" x14ac:dyDescent="0.3">
      <c r="A3" s="118"/>
      <c r="B3" s="118"/>
      <c r="C3" s="118"/>
      <c r="D3" s="118"/>
      <c r="E3" s="118"/>
      <c r="F3" s="118"/>
      <c r="G3" s="118"/>
      <c r="H3" s="118"/>
    </row>
    <row r="4" spans="1:8" x14ac:dyDescent="0.3">
      <c r="A4" s="118" t="s">
        <v>196</v>
      </c>
      <c r="B4" s="118"/>
      <c r="C4" s="118"/>
      <c r="D4" s="118"/>
      <c r="E4" s="118"/>
      <c r="F4" s="118"/>
      <c r="G4" s="118"/>
      <c r="H4" s="118"/>
    </row>
    <row r="5" spans="1:8" x14ac:dyDescent="0.3">
      <c r="A5" s="118" t="s">
        <v>197</v>
      </c>
      <c r="B5" s="118"/>
      <c r="C5" s="118"/>
      <c r="D5" s="118"/>
      <c r="E5" s="118"/>
      <c r="F5" s="118"/>
      <c r="G5" s="118"/>
      <c r="H5" s="118"/>
    </row>
    <row r="6" spans="1:8" x14ac:dyDescent="0.3">
      <c r="A6" s="118" t="s">
        <v>198</v>
      </c>
      <c r="B6" s="118"/>
      <c r="C6" s="118"/>
      <c r="D6" s="118"/>
      <c r="E6" s="118"/>
      <c r="F6" s="118"/>
      <c r="G6" s="118"/>
      <c r="H6" s="118"/>
    </row>
    <row r="7" spans="1:8" x14ac:dyDescent="0.3">
      <c r="A7" s="118" t="s">
        <v>199</v>
      </c>
      <c r="B7" s="118"/>
      <c r="C7" s="118"/>
      <c r="D7" s="118"/>
      <c r="E7" s="118"/>
      <c r="F7" s="118"/>
      <c r="G7" s="118"/>
      <c r="H7" s="118"/>
    </row>
    <row r="8" spans="1:8" x14ac:dyDescent="0.3">
      <c r="A8" s="118" t="s">
        <v>200</v>
      </c>
      <c r="B8" s="118"/>
      <c r="C8" s="118"/>
      <c r="D8" s="118"/>
      <c r="E8" s="118"/>
      <c r="F8" s="118"/>
      <c r="G8" s="118"/>
      <c r="H8" s="118"/>
    </row>
    <row r="9" spans="1:8" x14ac:dyDescent="0.3">
      <c r="A9" s="118" t="s">
        <v>201</v>
      </c>
      <c r="B9" s="118"/>
      <c r="C9" s="118"/>
      <c r="D9" s="118"/>
      <c r="E9" s="118"/>
      <c r="F9" s="118"/>
      <c r="G9" s="118"/>
      <c r="H9" s="118"/>
    </row>
    <row r="10" spans="1:8" x14ac:dyDescent="0.3">
      <c r="A10" s="118"/>
      <c r="B10" s="118"/>
      <c r="C10" s="118"/>
      <c r="D10" s="118"/>
      <c r="E10" s="118"/>
      <c r="F10" s="118"/>
      <c r="G10" s="118"/>
      <c r="H10" s="118"/>
    </row>
    <row r="11" spans="1:8" x14ac:dyDescent="0.3">
      <c r="A11" s="118" t="s">
        <v>202</v>
      </c>
      <c r="B11" s="118"/>
      <c r="C11" s="118"/>
      <c r="D11" s="118"/>
      <c r="E11" s="118"/>
      <c r="F11" s="118"/>
      <c r="G11" s="118"/>
      <c r="H11" s="118"/>
    </row>
    <row r="12" spans="1:8" x14ac:dyDescent="0.3">
      <c r="A12" s="118"/>
      <c r="B12" s="118"/>
      <c r="C12" s="118"/>
      <c r="D12" s="118"/>
      <c r="E12" s="118"/>
      <c r="F12" s="118"/>
      <c r="G12" s="118"/>
      <c r="H12" s="118"/>
    </row>
    <row r="13" spans="1:8" x14ac:dyDescent="0.3">
      <c r="A13" s="100" t="s">
        <v>203</v>
      </c>
      <c r="B13" s="100"/>
      <c r="C13" s="100"/>
      <c r="D13" s="100"/>
      <c r="E13" s="100"/>
      <c r="F13" s="100"/>
      <c r="G13" s="100"/>
      <c r="H13" s="100"/>
    </row>
    <row r="15" spans="1:8" x14ac:dyDescent="0.3">
      <c r="A15" s="117" t="s">
        <v>204</v>
      </c>
      <c r="B15" s="117"/>
      <c r="C15" s="117"/>
      <c r="D15" s="117"/>
      <c r="E15" s="117"/>
      <c r="F15" s="117"/>
      <c r="G15" s="117"/>
      <c r="H15" s="117"/>
    </row>
    <row r="16" spans="1:8" x14ac:dyDescent="0.3">
      <c r="A16" s="117" t="s">
        <v>205</v>
      </c>
      <c r="B16" s="117"/>
      <c r="C16" s="117"/>
      <c r="D16" s="117"/>
      <c r="E16" s="117"/>
      <c r="F16" s="117"/>
      <c r="G16" s="117"/>
      <c r="H16" s="117"/>
    </row>
    <row r="17" spans="1:8" x14ac:dyDescent="0.3">
      <c r="A17" s="117" t="s">
        <v>206</v>
      </c>
      <c r="B17" s="117"/>
      <c r="C17" s="117"/>
      <c r="D17" s="117"/>
      <c r="E17" s="117"/>
      <c r="F17" s="117"/>
      <c r="G17" s="117"/>
      <c r="H17" s="117"/>
    </row>
    <row r="18" spans="1:8" x14ac:dyDescent="0.3">
      <c r="A18" s="117" t="s">
        <v>207</v>
      </c>
      <c r="B18" s="117"/>
      <c r="C18" s="117"/>
      <c r="D18" s="117"/>
      <c r="E18" s="117"/>
      <c r="F18" s="117"/>
      <c r="G18" s="117"/>
      <c r="H18" s="117"/>
    </row>
    <row r="19" spans="1:8" x14ac:dyDescent="0.3">
      <c r="A19" s="117" t="s">
        <v>208</v>
      </c>
      <c r="B19" s="117"/>
      <c r="C19" s="117"/>
      <c r="D19" s="117"/>
      <c r="E19" s="117"/>
      <c r="F19" s="117"/>
      <c r="G19" s="117"/>
      <c r="H19" s="117"/>
    </row>
    <row r="20" spans="1:8" x14ac:dyDescent="0.3">
      <c r="A20" s="117" t="s">
        <v>209</v>
      </c>
      <c r="B20" s="117"/>
      <c r="C20" s="117"/>
      <c r="D20" s="117"/>
      <c r="E20" s="117"/>
      <c r="F20" s="117"/>
      <c r="G20" s="117"/>
      <c r="H20" s="117"/>
    </row>
    <row r="21" spans="1:8" x14ac:dyDescent="0.3">
      <c r="A21" s="117" t="s">
        <v>210</v>
      </c>
      <c r="B21" s="117"/>
      <c r="C21" s="117"/>
      <c r="D21" s="117"/>
      <c r="E21" s="117"/>
      <c r="F21" s="117"/>
      <c r="G21" s="117"/>
      <c r="H21" s="117"/>
    </row>
    <row r="22" spans="1:8" x14ac:dyDescent="0.3">
      <c r="A22" s="117" t="s">
        <v>211</v>
      </c>
      <c r="B22" s="117"/>
      <c r="C22" s="117"/>
      <c r="D22" s="117"/>
      <c r="E22" s="117"/>
      <c r="F22" s="117"/>
      <c r="G22" s="117"/>
      <c r="H22" s="117"/>
    </row>
    <row r="23" spans="1:8" x14ac:dyDescent="0.3">
      <c r="A23" s="117" t="s">
        <v>212</v>
      </c>
      <c r="B23" s="117"/>
      <c r="C23" s="117"/>
      <c r="D23" s="117"/>
      <c r="E23" s="117"/>
      <c r="F23" s="117"/>
      <c r="G23" s="117"/>
      <c r="H23" s="117"/>
    </row>
    <row r="24" spans="1:8" x14ac:dyDescent="0.3">
      <c r="A24" s="117" t="s">
        <v>213</v>
      </c>
      <c r="B24" s="117"/>
      <c r="C24" s="117"/>
      <c r="D24" s="117"/>
      <c r="E24" s="117"/>
      <c r="F24" s="117"/>
      <c r="G24" s="117"/>
      <c r="H24" s="117"/>
    </row>
    <row r="25" spans="1:8" x14ac:dyDescent="0.3">
      <c r="A25" s="117" t="s">
        <v>214</v>
      </c>
      <c r="B25" s="117"/>
      <c r="C25" s="117"/>
      <c r="D25" s="117"/>
      <c r="E25" s="117"/>
      <c r="F25" s="117"/>
      <c r="G25" s="117"/>
      <c r="H25" s="117"/>
    </row>
    <row r="26" spans="1:8" x14ac:dyDescent="0.3">
      <c r="A26" s="117" t="s">
        <v>215</v>
      </c>
      <c r="B26" s="117"/>
      <c r="C26" s="117"/>
      <c r="D26" s="117"/>
      <c r="E26" s="117"/>
      <c r="F26" s="117"/>
      <c r="G26" s="117"/>
      <c r="H26" s="117"/>
    </row>
    <row r="27" spans="1:8" x14ac:dyDescent="0.3">
      <c r="A27" s="117" t="s">
        <v>216</v>
      </c>
      <c r="B27" s="117"/>
      <c r="C27" s="117"/>
      <c r="D27" s="117"/>
      <c r="E27" s="117"/>
      <c r="F27" s="117"/>
      <c r="G27" s="117"/>
      <c r="H27" s="117"/>
    </row>
    <row r="28" spans="1:8" x14ac:dyDescent="0.3">
      <c r="A28" s="117" t="s">
        <v>217</v>
      </c>
      <c r="B28" s="117"/>
      <c r="C28" s="117"/>
      <c r="D28" s="117"/>
      <c r="E28" s="117"/>
      <c r="F28" s="117"/>
      <c r="G28" s="117"/>
      <c r="H28" s="117"/>
    </row>
    <row r="29" spans="1:8" x14ac:dyDescent="0.3">
      <c r="A29" s="117" t="s">
        <v>218</v>
      </c>
      <c r="B29" s="117"/>
      <c r="C29" s="117"/>
      <c r="D29" s="117"/>
      <c r="E29" s="117"/>
      <c r="F29" s="117"/>
      <c r="G29" s="117"/>
      <c r="H29" s="117"/>
    </row>
    <row r="30" spans="1:8" x14ac:dyDescent="0.3">
      <c r="A30" s="117" t="s">
        <v>219</v>
      </c>
      <c r="B30" s="117"/>
      <c r="C30" s="117"/>
      <c r="D30" s="117"/>
      <c r="E30" s="117"/>
      <c r="F30" s="117"/>
      <c r="G30" s="117"/>
      <c r="H30" s="117"/>
    </row>
    <row r="31" spans="1:8" x14ac:dyDescent="0.3">
      <c r="A31" s="117" t="s">
        <v>220</v>
      </c>
      <c r="B31" s="117"/>
      <c r="C31" s="117"/>
      <c r="D31" s="117"/>
      <c r="E31" s="117"/>
      <c r="F31" s="117"/>
      <c r="G31" s="117"/>
      <c r="H31" s="117"/>
    </row>
    <row r="32" spans="1:8" x14ac:dyDescent="0.3">
      <c r="A32" s="117" t="s">
        <v>221</v>
      </c>
      <c r="B32" s="117"/>
      <c r="C32" s="117"/>
      <c r="D32" s="117"/>
      <c r="E32" s="117"/>
      <c r="F32" s="117"/>
      <c r="G32" s="117"/>
      <c r="H32" s="117"/>
    </row>
    <row r="33" spans="1:8" x14ac:dyDescent="0.3">
      <c r="A33" s="117" t="s">
        <v>222</v>
      </c>
      <c r="B33" s="117"/>
      <c r="C33" s="117"/>
      <c r="D33" s="117"/>
      <c r="E33" s="117"/>
      <c r="F33" s="117"/>
      <c r="G33" s="117"/>
      <c r="H33" s="117"/>
    </row>
    <row r="34" spans="1:8" x14ac:dyDescent="0.3">
      <c r="A34" s="117" t="s">
        <v>223</v>
      </c>
      <c r="B34" s="117"/>
      <c r="C34" s="117"/>
      <c r="D34" s="117"/>
      <c r="E34" s="117"/>
      <c r="F34" s="117"/>
      <c r="G34" s="117"/>
      <c r="H34" s="117"/>
    </row>
    <row r="35" spans="1:8" x14ac:dyDescent="0.3">
      <c r="A35" s="117" t="s">
        <v>212</v>
      </c>
      <c r="B35" s="117"/>
      <c r="C35" s="117"/>
      <c r="D35" s="117"/>
      <c r="E35" s="117"/>
      <c r="F35" s="117"/>
      <c r="G35" s="117"/>
      <c r="H35" s="117"/>
    </row>
    <row r="36" spans="1:8" x14ac:dyDescent="0.3">
      <c r="A36" s="117" t="s">
        <v>224</v>
      </c>
      <c r="B36" s="117"/>
      <c r="C36" s="117"/>
      <c r="D36" s="117"/>
      <c r="E36" s="117"/>
      <c r="F36" s="117"/>
      <c r="G36" s="117"/>
      <c r="H36" s="117"/>
    </row>
    <row r="37" spans="1:8" x14ac:dyDescent="0.3">
      <c r="A37" s="117" t="s">
        <v>225</v>
      </c>
      <c r="B37" s="117"/>
      <c r="C37" s="117"/>
      <c r="D37" s="117"/>
      <c r="E37" s="117"/>
      <c r="F37" s="117"/>
      <c r="G37" s="117"/>
      <c r="H37" s="117"/>
    </row>
    <row r="38" spans="1:8" x14ac:dyDescent="0.3">
      <c r="A38" s="117" t="s">
        <v>226</v>
      </c>
      <c r="B38" s="117"/>
      <c r="C38" s="117"/>
      <c r="D38" s="117"/>
      <c r="E38" s="117"/>
      <c r="F38" s="117"/>
      <c r="G38" s="117"/>
      <c r="H38" s="117"/>
    </row>
    <row r="39" spans="1:8" x14ac:dyDescent="0.3">
      <c r="A39" s="117" t="s">
        <v>227</v>
      </c>
      <c r="B39" s="117"/>
      <c r="C39" s="117"/>
      <c r="D39" s="117"/>
      <c r="E39" s="117"/>
      <c r="F39" s="117"/>
      <c r="G39" s="117"/>
      <c r="H39" s="117"/>
    </row>
    <row r="40" spans="1:8" x14ac:dyDescent="0.3">
      <c r="A40" s="117" t="s">
        <v>228</v>
      </c>
      <c r="B40" s="117"/>
      <c r="C40" s="117"/>
      <c r="D40" s="117"/>
      <c r="E40" s="117"/>
      <c r="F40" s="117"/>
      <c r="G40" s="117"/>
      <c r="H40" s="117"/>
    </row>
    <row r="41" spans="1:8" x14ac:dyDescent="0.3">
      <c r="A41" s="117" t="s">
        <v>229</v>
      </c>
      <c r="B41" s="117"/>
      <c r="C41" s="117"/>
      <c r="D41" s="117"/>
      <c r="E41" s="117"/>
      <c r="F41" s="117"/>
      <c r="G41" s="117"/>
      <c r="H41" s="117"/>
    </row>
    <row r="42" spans="1:8" x14ac:dyDescent="0.3">
      <c r="A42" s="117" t="s">
        <v>230</v>
      </c>
      <c r="B42" s="117"/>
      <c r="C42" s="117"/>
      <c r="D42" s="117"/>
      <c r="E42" s="117"/>
      <c r="F42" s="117"/>
      <c r="G42" s="117"/>
      <c r="H42" s="117"/>
    </row>
    <row r="43" spans="1:8" x14ac:dyDescent="0.3">
      <c r="A43" s="117" t="s">
        <v>231</v>
      </c>
      <c r="B43" s="117"/>
      <c r="C43" s="117"/>
      <c r="D43" s="117"/>
      <c r="E43" s="117"/>
      <c r="F43" s="117"/>
      <c r="G43" s="117"/>
      <c r="H43" s="117"/>
    </row>
    <row r="44" spans="1:8" x14ac:dyDescent="0.3">
      <c r="A44" s="117" t="s">
        <v>232</v>
      </c>
      <c r="B44" s="117"/>
      <c r="C44" s="117"/>
      <c r="D44" s="117"/>
      <c r="E44" s="117"/>
      <c r="F44" s="117"/>
      <c r="G44" s="117"/>
      <c r="H44" s="117"/>
    </row>
    <row r="45" spans="1:8" x14ac:dyDescent="0.3">
      <c r="A45" s="117" t="s">
        <v>233</v>
      </c>
      <c r="B45" s="117"/>
      <c r="C45" s="117"/>
      <c r="D45" s="117"/>
      <c r="E45" s="117"/>
      <c r="F45" s="117"/>
      <c r="G45" s="117"/>
      <c r="H45" s="117"/>
    </row>
    <row r="46" spans="1:8" x14ac:dyDescent="0.3">
      <c r="A46" s="117" t="s">
        <v>234</v>
      </c>
      <c r="B46" s="117"/>
      <c r="C46" s="117"/>
      <c r="D46" s="117"/>
      <c r="E46" s="117"/>
      <c r="F46" s="117"/>
      <c r="G46" s="117"/>
      <c r="H46" s="117"/>
    </row>
    <row r="47" spans="1:8" x14ac:dyDescent="0.3">
      <c r="A47" s="117" t="s">
        <v>235</v>
      </c>
      <c r="B47" s="117"/>
      <c r="C47" s="117"/>
      <c r="D47" s="117"/>
      <c r="E47" s="117"/>
      <c r="F47" s="117"/>
      <c r="G47" s="117"/>
      <c r="H47" s="117"/>
    </row>
    <row r="48" spans="1:8" x14ac:dyDescent="0.3">
      <c r="A48" s="117" t="s">
        <v>236</v>
      </c>
      <c r="B48" s="117"/>
      <c r="C48" s="117"/>
      <c r="D48" s="117"/>
      <c r="E48" s="117"/>
      <c r="F48" s="117"/>
      <c r="G48" s="117"/>
      <c r="H48" s="117"/>
    </row>
    <row r="49" spans="1:8" x14ac:dyDescent="0.3">
      <c r="A49" s="117" t="s">
        <v>237</v>
      </c>
      <c r="B49" s="117"/>
      <c r="C49" s="117"/>
      <c r="D49" s="117"/>
      <c r="E49" s="117"/>
      <c r="F49" s="117"/>
      <c r="G49" s="117"/>
      <c r="H49" s="117"/>
    </row>
    <row r="50" spans="1:8" x14ac:dyDescent="0.3">
      <c r="A50" s="117" t="s">
        <v>238</v>
      </c>
      <c r="B50" s="117"/>
      <c r="C50" s="117"/>
      <c r="D50" s="117"/>
      <c r="E50" s="117"/>
      <c r="F50" s="117"/>
      <c r="G50" s="117"/>
      <c r="H50" s="117"/>
    </row>
    <row r="51" spans="1:8" x14ac:dyDescent="0.3">
      <c r="A51" s="117" t="s">
        <v>239</v>
      </c>
      <c r="B51" s="117"/>
      <c r="C51" s="117"/>
      <c r="D51" s="117"/>
      <c r="E51" s="117"/>
      <c r="F51" s="117"/>
      <c r="G51" s="117"/>
      <c r="H51" s="117"/>
    </row>
    <row r="52" spans="1:8" x14ac:dyDescent="0.3">
      <c r="A52" s="117" t="s">
        <v>240</v>
      </c>
      <c r="B52" s="117"/>
      <c r="C52" s="117"/>
      <c r="D52" s="117"/>
      <c r="E52" s="117"/>
      <c r="F52" s="117"/>
      <c r="G52" s="117"/>
      <c r="H52" s="117"/>
    </row>
    <row r="53" spans="1:8" x14ac:dyDescent="0.3">
      <c r="A53" s="117" t="s">
        <v>241</v>
      </c>
      <c r="B53" s="117"/>
      <c r="C53" s="117"/>
      <c r="D53" s="117"/>
      <c r="E53" s="117"/>
      <c r="F53" s="117"/>
      <c r="G53" s="117"/>
      <c r="H53" s="117"/>
    </row>
    <row r="54" spans="1:8" x14ac:dyDescent="0.3">
      <c r="A54" s="117" t="s">
        <v>242</v>
      </c>
      <c r="B54" s="117"/>
      <c r="C54" s="117"/>
      <c r="D54" s="117"/>
      <c r="E54" s="117"/>
      <c r="F54" s="117"/>
      <c r="G54" s="117"/>
      <c r="H54" s="117"/>
    </row>
    <row r="55" spans="1:8" x14ac:dyDescent="0.3">
      <c r="A55" s="117" t="s">
        <v>243</v>
      </c>
      <c r="B55" s="117"/>
      <c r="C55" s="117"/>
      <c r="D55" s="117"/>
      <c r="E55" s="117"/>
      <c r="F55" s="117"/>
      <c r="G55" s="117"/>
      <c r="H55" s="117"/>
    </row>
    <row r="56" spans="1:8" x14ac:dyDescent="0.3">
      <c r="A56" s="117" t="s">
        <v>244</v>
      </c>
      <c r="B56" s="117"/>
      <c r="C56" s="117"/>
      <c r="D56" s="117"/>
      <c r="E56" s="117"/>
      <c r="F56" s="117"/>
      <c r="G56" s="117"/>
      <c r="H56" s="117"/>
    </row>
    <row r="57" spans="1:8" x14ac:dyDescent="0.3">
      <c r="A57" s="117" t="s">
        <v>212</v>
      </c>
      <c r="B57" s="117"/>
      <c r="C57" s="117"/>
      <c r="D57" s="117"/>
      <c r="E57" s="117"/>
      <c r="F57" s="117"/>
      <c r="G57" s="117"/>
      <c r="H57" s="117"/>
    </row>
    <row r="58" spans="1:8" x14ac:dyDescent="0.3">
      <c r="A58" s="117" t="s">
        <v>245</v>
      </c>
      <c r="B58" s="117"/>
      <c r="C58" s="117"/>
      <c r="D58" s="117"/>
      <c r="E58" s="117"/>
      <c r="F58" s="117"/>
      <c r="G58" s="117"/>
      <c r="H58" s="117"/>
    </row>
    <row r="59" spans="1:8" x14ac:dyDescent="0.3">
      <c r="A59" s="117" t="s">
        <v>246</v>
      </c>
      <c r="B59" s="117"/>
      <c r="C59" s="117"/>
      <c r="D59" s="117"/>
      <c r="E59" s="117"/>
      <c r="F59" s="117"/>
      <c r="G59" s="117"/>
      <c r="H59" s="117"/>
    </row>
    <row r="60" spans="1:8" x14ac:dyDescent="0.3">
      <c r="A60" s="117" t="s">
        <v>247</v>
      </c>
      <c r="B60" s="117"/>
      <c r="C60" s="117"/>
      <c r="D60" s="117"/>
      <c r="E60" s="117"/>
      <c r="F60" s="117"/>
      <c r="G60" s="117"/>
      <c r="H60" s="117"/>
    </row>
    <row r="61" spans="1:8" x14ac:dyDescent="0.3">
      <c r="A61" s="117" t="s">
        <v>248</v>
      </c>
      <c r="B61" s="117"/>
      <c r="C61" s="117"/>
      <c r="D61" s="117"/>
      <c r="E61" s="117"/>
      <c r="F61" s="117"/>
      <c r="G61" s="117"/>
      <c r="H61" s="117"/>
    </row>
    <row r="62" spans="1:8" x14ac:dyDescent="0.3">
      <c r="A62" s="117" t="s">
        <v>249</v>
      </c>
      <c r="B62" s="117"/>
      <c r="C62" s="117"/>
      <c r="D62" s="117"/>
      <c r="E62" s="117"/>
      <c r="F62" s="117"/>
      <c r="G62" s="117"/>
      <c r="H62" s="117"/>
    </row>
    <row r="63" spans="1:8" x14ac:dyDescent="0.3">
      <c r="A63" s="117" t="s">
        <v>250</v>
      </c>
      <c r="B63" s="117"/>
      <c r="C63" s="117"/>
      <c r="D63" s="117"/>
      <c r="E63" s="117"/>
      <c r="F63" s="117"/>
      <c r="G63" s="117"/>
      <c r="H63" s="117"/>
    </row>
    <row r="64" spans="1:8" x14ac:dyDescent="0.3">
      <c r="A64" s="117" t="s">
        <v>251</v>
      </c>
      <c r="B64" s="117"/>
      <c r="C64" s="117"/>
      <c r="D64" s="117"/>
      <c r="E64" s="117"/>
      <c r="F64" s="117"/>
      <c r="G64" s="117"/>
      <c r="H64" s="117"/>
    </row>
    <row r="65" spans="1:8" x14ac:dyDescent="0.3">
      <c r="A65" s="117" t="s">
        <v>252</v>
      </c>
      <c r="B65" s="117"/>
      <c r="C65" s="117"/>
      <c r="D65" s="117"/>
      <c r="E65" s="117"/>
      <c r="F65" s="117"/>
      <c r="G65" s="117"/>
      <c r="H65" s="117"/>
    </row>
    <row r="66" spans="1:8" x14ac:dyDescent="0.3">
      <c r="A66" s="117" t="s">
        <v>253</v>
      </c>
      <c r="B66" s="117"/>
      <c r="C66" s="117"/>
      <c r="D66" s="117"/>
      <c r="E66" s="117"/>
      <c r="F66" s="117"/>
      <c r="G66" s="117"/>
      <c r="H66" s="117"/>
    </row>
    <row r="67" spans="1:8" x14ac:dyDescent="0.3">
      <c r="A67" s="117" t="s">
        <v>212</v>
      </c>
      <c r="B67" s="117"/>
      <c r="C67" s="117"/>
      <c r="D67" s="117"/>
      <c r="E67" s="117"/>
      <c r="F67" s="117"/>
      <c r="G67" s="117"/>
      <c r="H67" s="117"/>
    </row>
    <row r="68" spans="1:8" x14ac:dyDescent="0.3">
      <c r="A68" s="117" t="s">
        <v>254</v>
      </c>
      <c r="B68" s="117"/>
      <c r="C68" s="117"/>
      <c r="D68" s="117"/>
      <c r="E68" s="117"/>
      <c r="F68" s="117"/>
      <c r="G68" s="117"/>
      <c r="H68" s="117"/>
    </row>
    <row r="69" spans="1:8" x14ac:dyDescent="0.3">
      <c r="A69" s="117" t="s">
        <v>255</v>
      </c>
      <c r="B69" s="117"/>
      <c r="C69" s="117"/>
      <c r="D69" s="117"/>
      <c r="E69" s="117"/>
      <c r="F69" s="117"/>
      <c r="G69" s="117"/>
      <c r="H69" s="117"/>
    </row>
    <row r="70" spans="1:8" x14ac:dyDescent="0.3">
      <c r="A70" s="117" t="s">
        <v>256</v>
      </c>
      <c r="B70" s="117"/>
      <c r="C70" s="117"/>
      <c r="D70" s="117"/>
      <c r="E70" s="117"/>
      <c r="F70" s="117"/>
      <c r="G70" s="117"/>
      <c r="H70" s="117"/>
    </row>
    <row r="71" spans="1:8" x14ac:dyDescent="0.3">
      <c r="A71" s="117" t="s">
        <v>257</v>
      </c>
      <c r="B71" s="117"/>
      <c r="C71" s="117"/>
      <c r="D71" s="117"/>
      <c r="E71" s="117"/>
      <c r="F71" s="117"/>
      <c r="G71" s="117"/>
      <c r="H71" s="117"/>
    </row>
    <row r="72" spans="1:8" x14ac:dyDescent="0.3">
      <c r="A72" s="117" t="s">
        <v>258</v>
      </c>
      <c r="B72" s="117"/>
      <c r="C72" s="117"/>
      <c r="D72" s="117"/>
      <c r="E72" s="117"/>
      <c r="F72" s="117"/>
      <c r="G72" s="117"/>
      <c r="H72" s="117"/>
    </row>
    <row r="73" spans="1:8" x14ac:dyDescent="0.3">
      <c r="A73" s="117" t="s">
        <v>259</v>
      </c>
      <c r="B73" s="117"/>
      <c r="C73" s="117"/>
      <c r="D73" s="117"/>
      <c r="E73" s="117"/>
      <c r="F73" s="117"/>
      <c r="G73" s="117"/>
      <c r="H73" s="117"/>
    </row>
    <row r="74" spans="1:8" x14ac:dyDescent="0.3">
      <c r="A74" s="117" t="s">
        <v>260</v>
      </c>
      <c r="B74" s="117"/>
      <c r="C74" s="117"/>
      <c r="D74" s="117"/>
      <c r="E74" s="117"/>
      <c r="F74" s="117"/>
      <c r="G74" s="117"/>
      <c r="H74" s="117"/>
    </row>
    <row r="75" spans="1:8" x14ac:dyDescent="0.3">
      <c r="A75" s="117" t="s">
        <v>261</v>
      </c>
      <c r="B75" s="117"/>
      <c r="C75" s="117"/>
      <c r="D75" s="117"/>
      <c r="E75" s="117"/>
      <c r="F75" s="117"/>
      <c r="G75" s="117"/>
      <c r="H75" s="117"/>
    </row>
    <row r="76" spans="1:8" x14ac:dyDescent="0.3">
      <c r="A76" s="117" t="s">
        <v>262</v>
      </c>
      <c r="B76" s="117"/>
      <c r="C76" s="117"/>
      <c r="D76" s="117"/>
      <c r="E76" s="117"/>
      <c r="F76" s="117"/>
      <c r="G76" s="117"/>
      <c r="H76" s="117"/>
    </row>
    <row r="77" spans="1:8" x14ac:dyDescent="0.3">
      <c r="A77" s="117" t="s">
        <v>258</v>
      </c>
      <c r="B77" s="117"/>
      <c r="C77" s="117"/>
      <c r="D77" s="117"/>
      <c r="E77" s="117"/>
      <c r="F77" s="117"/>
      <c r="G77" s="117"/>
      <c r="H77" s="117"/>
    </row>
    <row r="78" spans="1:8" x14ac:dyDescent="0.3">
      <c r="A78" s="117" t="s">
        <v>212</v>
      </c>
      <c r="B78" s="117"/>
      <c r="C78" s="117"/>
      <c r="D78" s="117"/>
      <c r="E78" s="117"/>
      <c r="F78" s="117"/>
      <c r="G78" s="117"/>
      <c r="H78" s="117"/>
    </row>
    <row r="79" spans="1:8" x14ac:dyDescent="0.3">
      <c r="A79" s="117" t="s">
        <v>263</v>
      </c>
      <c r="B79" s="117"/>
      <c r="C79" s="117"/>
      <c r="D79" s="117"/>
      <c r="E79" s="117"/>
      <c r="F79" s="117"/>
      <c r="G79" s="117"/>
      <c r="H79" s="117"/>
    </row>
    <row r="80" spans="1:8" x14ac:dyDescent="0.3">
      <c r="A80" s="117" t="s">
        <v>264</v>
      </c>
      <c r="B80" s="117"/>
      <c r="C80" s="117"/>
      <c r="D80" s="117"/>
      <c r="E80" s="117"/>
      <c r="F80" s="117"/>
      <c r="G80" s="117"/>
      <c r="H80" s="117"/>
    </row>
    <row r="81" spans="1:8" x14ac:dyDescent="0.3">
      <c r="A81" s="117" t="s">
        <v>265</v>
      </c>
      <c r="B81" s="117"/>
      <c r="C81" s="117"/>
      <c r="D81" s="117"/>
      <c r="E81" s="117"/>
      <c r="F81" s="117"/>
      <c r="G81" s="117"/>
      <c r="H81" s="117"/>
    </row>
    <row r="82" spans="1:8" x14ac:dyDescent="0.3">
      <c r="A82" s="117" t="s">
        <v>266</v>
      </c>
      <c r="B82" s="117"/>
      <c r="C82" s="117"/>
      <c r="D82" s="117"/>
      <c r="E82" s="117"/>
      <c r="F82" s="117"/>
      <c r="G82" s="117"/>
      <c r="H82" s="117"/>
    </row>
    <row r="83" spans="1:8" x14ac:dyDescent="0.3">
      <c r="A83" s="117" t="s">
        <v>267</v>
      </c>
      <c r="B83" s="117"/>
      <c r="C83" s="117"/>
      <c r="D83" s="117"/>
      <c r="E83" s="117"/>
      <c r="F83" s="117"/>
      <c r="G83" s="117"/>
      <c r="H83" s="117"/>
    </row>
    <row r="84" spans="1:8" x14ac:dyDescent="0.3">
      <c r="A84" s="117" t="s">
        <v>268</v>
      </c>
      <c r="B84" s="117"/>
      <c r="C84" s="117"/>
      <c r="D84" s="117"/>
      <c r="E84" s="117"/>
      <c r="F84" s="117"/>
      <c r="G84" s="117"/>
      <c r="H84" s="117"/>
    </row>
    <row r="85" spans="1:8" x14ac:dyDescent="0.3">
      <c r="A85" s="117" t="s">
        <v>269</v>
      </c>
      <c r="B85" s="117"/>
      <c r="C85" s="117"/>
      <c r="D85" s="117"/>
      <c r="E85" s="117"/>
      <c r="F85" s="117"/>
      <c r="G85" s="117"/>
      <c r="H85" s="117"/>
    </row>
    <row r="86" spans="1:8" x14ac:dyDescent="0.3">
      <c r="A86" s="117" t="s">
        <v>270</v>
      </c>
      <c r="B86" s="117"/>
      <c r="C86" s="117"/>
      <c r="D86" s="117"/>
      <c r="E86" s="117"/>
      <c r="F86" s="117"/>
      <c r="G86" s="117"/>
      <c r="H86" s="117"/>
    </row>
    <row r="87" spans="1:8" x14ac:dyDescent="0.3">
      <c r="A87" s="117" t="s">
        <v>271</v>
      </c>
      <c r="B87" s="117"/>
      <c r="C87" s="117"/>
      <c r="D87" s="117"/>
      <c r="E87" s="117"/>
      <c r="F87" s="117"/>
      <c r="G87" s="117"/>
      <c r="H87" s="117"/>
    </row>
    <row r="88" spans="1:8" x14ac:dyDescent="0.3">
      <c r="A88" s="117" t="s">
        <v>212</v>
      </c>
      <c r="B88" s="117"/>
      <c r="C88" s="117"/>
      <c r="D88" s="117"/>
      <c r="E88" s="117"/>
      <c r="F88" s="117"/>
      <c r="G88" s="117"/>
      <c r="H88" s="117"/>
    </row>
    <row r="89" spans="1:8" x14ac:dyDescent="0.3">
      <c r="A89" s="117" t="s">
        <v>272</v>
      </c>
      <c r="B89" s="117"/>
      <c r="C89" s="117"/>
      <c r="D89" s="117"/>
      <c r="E89" s="117"/>
      <c r="F89" s="117"/>
      <c r="G89" s="117"/>
      <c r="H89" s="117"/>
    </row>
    <row r="90" spans="1:8" x14ac:dyDescent="0.3">
      <c r="A90" s="117" t="s">
        <v>273</v>
      </c>
      <c r="B90" s="117"/>
      <c r="C90" s="117"/>
      <c r="D90" s="117"/>
      <c r="E90" s="117"/>
      <c r="F90" s="117"/>
      <c r="G90" s="117"/>
      <c r="H90" s="117"/>
    </row>
    <row r="91" spans="1:8" x14ac:dyDescent="0.3">
      <c r="A91" s="117" t="s">
        <v>274</v>
      </c>
      <c r="B91" s="117"/>
      <c r="C91" s="117"/>
      <c r="D91" s="117"/>
      <c r="E91" s="117"/>
      <c r="F91" s="117"/>
      <c r="G91" s="117"/>
      <c r="H91" s="117"/>
    </row>
    <row r="92" spans="1:8" x14ac:dyDescent="0.3">
      <c r="A92" s="117" t="s">
        <v>243</v>
      </c>
      <c r="B92" s="117"/>
      <c r="C92" s="117"/>
      <c r="D92" s="117"/>
      <c r="E92" s="117"/>
      <c r="F92" s="117"/>
      <c r="G92" s="117"/>
      <c r="H92" s="117"/>
    </row>
    <row r="93" spans="1:8" x14ac:dyDescent="0.3">
      <c r="A93" s="117" t="s">
        <v>275</v>
      </c>
      <c r="B93" s="117"/>
      <c r="C93" s="117"/>
      <c r="D93" s="117"/>
      <c r="E93" s="117"/>
      <c r="F93" s="117"/>
      <c r="G93" s="117"/>
      <c r="H93" s="117"/>
    </row>
    <row r="94" spans="1:8" x14ac:dyDescent="0.3">
      <c r="A94" s="117" t="s">
        <v>212</v>
      </c>
      <c r="B94" s="117"/>
      <c r="C94" s="117"/>
      <c r="D94" s="117"/>
      <c r="E94" s="117"/>
      <c r="F94" s="117"/>
      <c r="G94" s="117"/>
      <c r="H94" s="117"/>
    </row>
    <row r="95" spans="1:8" x14ac:dyDescent="0.3">
      <c r="A95" s="117" t="s">
        <v>276</v>
      </c>
      <c r="B95" s="117"/>
      <c r="C95" s="117"/>
      <c r="D95" s="117"/>
      <c r="E95" s="117"/>
      <c r="F95" s="117"/>
      <c r="G95" s="117"/>
      <c r="H95" s="117"/>
    </row>
    <row r="96" spans="1:8" x14ac:dyDescent="0.3">
      <c r="A96" s="117" t="s">
        <v>277</v>
      </c>
      <c r="B96" s="117"/>
      <c r="C96" s="117"/>
      <c r="D96" s="117"/>
      <c r="E96" s="117"/>
      <c r="F96" s="117"/>
      <c r="G96" s="117"/>
      <c r="H96" s="117"/>
    </row>
    <row r="97" spans="1:8" x14ac:dyDescent="0.3">
      <c r="A97" s="117" t="s">
        <v>278</v>
      </c>
      <c r="B97" s="117"/>
      <c r="C97" s="117"/>
      <c r="D97" s="117"/>
      <c r="E97" s="117"/>
      <c r="F97" s="117"/>
      <c r="G97" s="117"/>
      <c r="H97" s="117"/>
    </row>
    <row r="98" spans="1:8" x14ac:dyDescent="0.3">
      <c r="A98" s="117" t="s">
        <v>279</v>
      </c>
      <c r="B98" s="117"/>
      <c r="C98" s="117"/>
      <c r="D98" s="117"/>
      <c r="E98" s="117"/>
      <c r="F98" s="117"/>
      <c r="G98" s="117"/>
      <c r="H98" s="117"/>
    </row>
    <row r="99" spans="1:8" x14ac:dyDescent="0.3">
      <c r="A99" s="117" t="s">
        <v>280</v>
      </c>
      <c r="B99" s="117"/>
      <c r="C99" s="117"/>
      <c r="D99" s="117"/>
      <c r="E99" s="117"/>
      <c r="F99" s="117"/>
      <c r="G99" s="117"/>
      <c r="H99" s="117"/>
    </row>
    <row r="100" spans="1:8" x14ac:dyDescent="0.3">
      <c r="A100" s="117" t="s">
        <v>281</v>
      </c>
      <c r="B100" s="117"/>
      <c r="C100" s="117"/>
      <c r="D100" s="117"/>
      <c r="E100" s="117"/>
      <c r="F100" s="117"/>
      <c r="G100" s="117"/>
      <c r="H100" s="117"/>
    </row>
    <row r="101" spans="1:8" x14ac:dyDescent="0.3">
      <c r="A101" s="117" t="s">
        <v>282</v>
      </c>
      <c r="B101" s="117"/>
      <c r="C101" s="117"/>
      <c r="D101" s="117"/>
      <c r="E101" s="117"/>
      <c r="F101" s="117"/>
      <c r="G101" s="117"/>
      <c r="H101" s="117"/>
    </row>
    <row r="102" spans="1:8" x14ac:dyDescent="0.3">
      <c r="A102" s="117" t="s">
        <v>283</v>
      </c>
      <c r="B102" s="117"/>
      <c r="C102" s="117"/>
      <c r="D102" s="117"/>
      <c r="E102" s="117"/>
      <c r="F102" s="117"/>
      <c r="G102" s="117"/>
      <c r="H102" s="117"/>
    </row>
    <row r="103" spans="1:8" x14ac:dyDescent="0.3">
      <c r="A103" s="117" t="s">
        <v>284</v>
      </c>
      <c r="B103" s="117"/>
      <c r="C103" s="117"/>
      <c r="D103" s="117"/>
      <c r="E103" s="117"/>
      <c r="F103" s="117"/>
      <c r="G103" s="117"/>
      <c r="H103" s="117"/>
    </row>
    <row r="104" spans="1:8" x14ac:dyDescent="0.3">
      <c r="A104" s="117" t="s">
        <v>285</v>
      </c>
      <c r="B104" s="117"/>
      <c r="C104" s="117"/>
      <c r="D104" s="117"/>
      <c r="E104" s="117"/>
      <c r="F104" s="117"/>
      <c r="G104" s="117"/>
      <c r="H104" s="117"/>
    </row>
    <row r="105" spans="1:8" x14ac:dyDescent="0.3">
      <c r="A105" s="117" t="s">
        <v>212</v>
      </c>
      <c r="B105" s="117"/>
      <c r="C105" s="117"/>
      <c r="D105" s="117"/>
      <c r="E105" s="117"/>
      <c r="F105" s="117"/>
      <c r="G105" s="117"/>
      <c r="H105" s="117"/>
    </row>
    <row r="106" spans="1:8" x14ac:dyDescent="0.3">
      <c r="A106" s="117" t="s">
        <v>286</v>
      </c>
      <c r="B106" s="117"/>
      <c r="C106" s="117"/>
      <c r="D106" s="117"/>
      <c r="E106" s="117"/>
      <c r="F106" s="117"/>
      <c r="G106" s="117"/>
      <c r="H106" s="117"/>
    </row>
    <row r="107" spans="1:8" x14ac:dyDescent="0.3">
      <c r="A107" s="117" t="s">
        <v>287</v>
      </c>
      <c r="B107" s="117"/>
      <c r="C107" s="117"/>
      <c r="D107" s="117"/>
      <c r="E107" s="117"/>
      <c r="F107" s="117"/>
      <c r="G107" s="117"/>
      <c r="H107" s="117"/>
    </row>
    <row r="108" spans="1:8" x14ac:dyDescent="0.3">
      <c r="A108" s="117" t="s">
        <v>256</v>
      </c>
      <c r="B108" s="117"/>
      <c r="C108" s="117"/>
      <c r="D108" s="117"/>
      <c r="E108" s="117"/>
      <c r="F108" s="117"/>
      <c r="G108" s="117"/>
      <c r="H108" s="117"/>
    </row>
    <row r="109" spans="1:8" x14ac:dyDescent="0.3">
      <c r="A109" s="117" t="s">
        <v>288</v>
      </c>
      <c r="B109" s="117"/>
      <c r="C109" s="117"/>
      <c r="D109" s="117"/>
      <c r="E109" s="117"/>
      <c r="F109" s="117"/>
      <c r="G109" s="117"/>
      <c r="H109" s="117"/>
    </row>
    <row r="110" spans="1:8" x14ac:dyDescent="0.3">
      <c r="A110" s="117" t="s">
        <v>258</v>
      </c>
      <c r="B110" s="117"/>
      <c r="C110" s="117"/>
      <c r="D110" s="117"/>
      <c r="E110" s="117"/>
      <c r="F110" s="117"/>
      <c r="G110" s="117"/>
      <c r="H110" s="117"/>
    </row>
    <row r="111" spans="1:8" x14ac:dyDescent="0.3">
      <c r="A111" s="117" t="s">
        <v>289</v>
      </c>
      <c r="B111" s="117"/>
      <c r="C111" s="117"/>
      <c r="D111" s="117"/>
      <c r="E111" s="117"/>
      <c r="F111" s="117"/>
      <c r="G111" s="117"/>
      <c r="H111" s="117"/>
    </row>
    <row r="112" spans="1:8" x14ac:dyDescent="0.3">
      <c r="A112" s="117" t="s">
        <v>290</v>
      </c>
      <c r="B112" s="117"/>
      <c r="C112" s="117"/>
      <c r="D112" s="117"/>
      <c r="E112" s="117"/>
      <c r="F112" s="117"/>
      <c r="G112" s="117"/>
      <c r="H112" s="117"/>
    </row>
    <row r="113" spans="1:8" x14ac:dyDescent="0.3">
      <c r="A113" s="117" t="s">
        <v>291</v>
      </c>
      <c r="B113" s="117"/>
      <c r="C113" s="117"/>
      <c r="D113" s="117"/>
      <c r="E113" s="117"/>
      <c r="F113" s="117"/>
      <c r="G113" s="117"/>
      <c r="H113" s="117"/>
    </row>
    <row r="114" spans="1:8" x14ac:dyDescent="0.3">
      <c r="A114" s="117" t="s">
        <v>292</v>
      </c>
      <c r="B114" s="117"/>
      <c r="C114" s="117"/>
      <c r="D114" s="117"/>
      <c r="E114" s="117"/>
      <c r="F114" s="117"/>
      <c r="G114" s="117"/>
      <c r="H114" s="117"/>
    </row>
    <row r="115" spans="1:8" x14ac:dyDescent="0.3">
      <c r="A115" s="117" t="s">
        <v>256</v>
      </c>
      <c r="B115" s="117"/>
      <c r="C115" s="117"/>
      <c r="D115" s="117"/>
      <c r="E115" s="117"/>
      <c r="F115" s="117"/>
      <c r="G115" s="117"/>
      <c r="H115" s="117"/>
    </row>
    <row r="116" spans="1:8" x14ac:dyDescent="0.3">
      <c r="A116" s="117" t="s">
        <v>293</v>
      </c>
      <c r="B116" s="117"/>
      <c r="C116" s="117"/>
      <c r="D116" s="117"/>
      <c r="E116" s="117"/>
      <c r="F116" s="117"/>
      <c r="G116" s="117"/>
      <c r="H116" s="117"/>
    </row>
    <row r="117" spans="1:8" x14ac:dyDescent="0.3">
      <c r="A117" s="117" t="s">
        <v>294</v>
      </c>
      <c r="B117" s="117"/>
      <c r="C117" s="117"/>
      <c r="D117" s="117"/>
      <c r="E117" s="117"/>
      <c r="F117" s="117"/>
      <c r="G117" s="117"/>
      <c r="H117" s="117"/>
    </row>
    <row r="118" spans="1:8" x14ac:dyDescent="0.3">
      <c r="A118" s="117" t="s">
        <v>295</v>
      </c>
      <c r="B118" s="117"/>
      <c r="C118" s="117"/>
      <c r="D118" s="117"/>
      <c r="E118" s="117"/>
      <c r="F118" s="117"/>
      <c r="G118" s="117"/>
      <c r="H118" s="117"/>
    </row>
    <row r="119" spans="1:8" x14ac:dyDescent="0.3">
      <c r="A119" s="117" t="s">
        <v>296</v>
      </c>
      <c r="B119" s="117"/>
      <c r="C119" s="117"/>
      <c r="D119" s="117"/>
      <c r="E119" s="117"/>
      <c r="F119" s="117"/>
      <c r="G119" s="117"/>
      <c r="H119" s="117"/>
    </row>
    <row r="120" spans="1:8" x14ac:dyDescent="0.3">
      <c r="A120" s="117" t="s">
        <v>297</v>
      </c>
      <c r="B120" s="117"/>
      <c r="C120" s="117"/>
      <c r="D120" s="117"/>
      <c r="E120" s="117"/>
      <c r="F120" s="117"/>
      <c r="G120" s="117"/>
      <c r="H120" s="117"/>
    </row>
    <row r="121" spans="1:8" x14ac:dyDescent="0.3">
      <c r="A121" s="117" t="s">
        <v>298</v>
      </c>
      <c r="B121" s="117"/>
      <c r="C121" s="117"/>
      <c r="D121" s="117"/>
      <c r="E121" s="117"/>
      <c r="F121" s="117"/>
      <c r="G121" s="117"/>
      <c r="H121" s="117"/>
    </row>
    <row r="122" spans="1:8" x14ac:dyDescent="0.3">
      <c r="A122" s="117" t="s">
        <v>299</v>
      </c>
      <c r="B122" s="117"/>
      <c r="C122" s="117"/>
      <c r="D122" s="117"/>
      <c r="E122" s="117"/>
      <c r="F122" s="117"/>
      <c r="G122" s="117"/>
      <c r="H122" s="117"/>
    </row>
    <row r="123" spans="1:8" x14ac:dyDescent="0.3">
      <c r="A123" s="117" t="s">
        <v>300</v>
      </c>
      <c r="B123" s="117"/>
      <c r="C123" s="117"/>
      <c r="D123" s="117"/>
      <c r="E123" s="117"/>
      <c r="F123" s="117"/>
      <c r="G123" s="117"/>
      <c r="H123" s="117"/>
    </row>
    <row r="124" spans="1:8" x14ac:dyDescent="0.3">
      <c r="A124" s="117" t="s">
        <v>301</v>
      </c>
      <c r="B124" s="117"/>
      <c r="C124" s="117"/>
      <c r="D124" s="117"/>
      <c r="E124" s="117"/>
      <c r="F124" s="117"/>
      <c r="G124" s="117"/>
      <c r="H124" s="117"/>
    </row>
    <row r="125" spans="1:8" x14ac:dyDescent="0.3">
      <c r="A125" s="117" t="s">
        <v>302</v>
      </c>
      <c r="B125" s="117"/>
      <c r="C125" s="117"/>
      <c r="D125" s="117"/>
      <c r="E125" s="117"/>
      <c r="F125" s="117"/>
      <c r="G125" s="117"/>
      <c r="H125" s="117"/>
    </row>
    <row r="126" spans="1:8" x14ac:dyDescent="0.3">
      <c r="A126" s="117" t="s">
        <v>303</v>
      </c>
      <c r="B126" s="117"/>
      <c r="C126" s="117"/>
      <c r="D126" s="117"/>
      <c r="E126" s="117"/>
      <c r="F126" s="117"/>
      <c r="G126" s="117"/>
      <c r="H126" s="117"/>
    </row>
    <row r="127" spans="1:8" x14ac:dyDescent="0.3">
      <c r="A127" s="117" t="s">
        <v>304</v>
      </c>
      <c r="B127" s="117"/>
      <c r="C127" s="117"/>
      <c r="D127" s="117"/>
      <c r="E127" s="117"/>
      <c r="F127" s="117"/>
      <c r="G127" s="117"/>
      <c r="H127" s="117"/>
    </row>
    <row r="128" spans="1:8" x14ac:dyDescent="0.3">
      <c r="A128" s="117" t="s">
        <v>258</v>
      </c>
      <c r="B128" s="117"/>
      <c r="C128" s="117"/>
      <c r="D128" s="117"/>
      <c r="E128" s="117"/>
      <c r="F128" s="117"/>
      <c r="G128" s="117"/>
      <c r="H128" s="117"/>
    </row>
    <row r="129" spans="1:8" x14ac:dyDescent="0.3">
      <c r="A129" s="117" t="s">
        <v>212</v>
      </c>
      <c r="B129" s="117"/>
      <c r="C129" s="117"/>
      <c r="D129" s="117"/>
      <c r="E129" s="117"/>
      <c r="F129" s="117"/>
      <c r="G129" s="117"/>
      <c r="H129" s="117"/>
    </row>
    <row r="130" spans="1:8" x14ac:dyDescent="0.3">
      <c r="A130" s="117" t="s">
        <v>305</v>
      </c>
      <c r="B130" s="117"/>
      <c r="C130" s="117"/>
      <c r="D130" s="117"/>
      <c r="E130" s="117"/>
      <c r="F130" s="117"/>
      <c r="G130" s="117"/>
      <c r="H130" s="117"/>
    </row>
    <row r="131" spans="1:8" x14ac:dyDescent="0.3">
      <c r="A131" s="117" t="s">
        <v>306</v>
      </c>
      <c r="B131" s="117"/>
      <c r="C131" s="117"/>
      <c r="D131" s="117"/>
      <c r="E131" s="117"/>
      <c r="F131" s="117"/>
      <c r="G131" s="117"/>
      <c r="H131" s="117"/>
    </row>
    <row r="132" spans="1:8" x14ac:dyDescent="0.3">
      <c r="A132" s="117" t="s">
        <v>307</v>
      </c>
      <c r="B132" s="117"/>
      <c r="C132" s="117"/>
      <c r="D132" s="117"/>
      <c r="E132" s="117"/>
      <c r="F132" s="117"/>
      <c r="G132" s="117"/>
      <c r="H132" s="117"/>
    </row>
    <row r="133" spans="1:8" x14ac:dyDescent="0.3">
      <c r="A133" s="117" t="s">
        <v>308</v>
      </c>
      <c r="B133" s="117"/>
      <c r="C133" s="117"/>
      <c r="D133" s="117"/>
      <c r="E133" s="117"/>
      <c r="F133" s="117"/>
      <c r="G133" s="117"/>
      <c r="H133" s="117"/>
    </row>
    <row r="134" spans="1:8" x14ac:dyDescent="0.3">
      <c r="A134" s="117" t="s">
        <v>309</v>
      </c>
      <c r="B134" s="117"/>
      <c r="C134" s="117"/>
      <c r="D134" s="117"/>
      <c r="E134" s="117"/>
      <c r="F134" s="117"/>
      <c r="G134" s="117"/>
      <c r="H134" s="117"/>
    </row>
    <row r="135" spans="1:8" x14ac:dyDescent="0.3">
      <c r="A135" s="117" t="s">
        <v>310</v>
      </c>
      <c r="B135" s="117"/>
      <c r="C135" s="117"/>
      <c r="D135" s="117"/>
      <c r="E135" s="117"/>
      <c r="F135" s="117"/>
      <c r="G135" s="117"/>
      <c r="H135" s="117"/>
    </row>
    <row r="136" spans="1:8" x14ac:dyDescent="0.3">
      <c r="A136" s="117" t="s">
        <v>311</v>
      </c>
      <c r="B136" s="117"/>
      <c r="C136" s="117"/>
      <c r="D136" s="117"/>
      <c r="E136" s="117"/>
      <c r="F136" s="117"/>
      <c r="G136" s="117"/>
      <c r="H136" s="117"/>
    </row>
    <row r="137" spans="1:8" x14ac:dyDescent="0.3">
      <c r="A137" s="117" t="s">
        <v>312</v>
      </c>
      <c r="B137" s="117"/>
      <c r="C137" s="117"/>
      <c r="D137" s="117"/>
      <c r="E137" s="117"/>
      <c r="F137" s="117"/>
      <c r="G137" s="117"/>
      <c r="H137" s="117"/>
    </row>
    <row r="138" spans="1:8" x14ac:dyDescent="0.3">
      <c r="A138" s="117" t="s">
        <v>313</v>
      </c>
      <c r="B138" s="117"/>
      <c r="C138" s="117"/>
      <c r="D138" s="117"/>
      <c r="E138" s="117"/>
      <c r="F138" s="117"/>
      <c r="G138" s="117"/>
      <c r="H138" s="117"/>
    </row>
    <row r="139" spans="1:8" x14ac:dyDescent="0.3">
      <c r="A139" s="117" t="s">
        <v>314</v>
      </c>
      <c r="B139" s="117"/>
      <c r="C139" s="117"/>
      <c r="D139" s="117"/>
      <c r="E139" s="117"/>
      <c r="F139" s="117"/>
      <c r="G139" s="117"/>
      <c r="H139" s="117"/>
    </row>
    <row r="140" spans="1:8" x14ac:dyDescent="0.3">
      <c r="A140" s="117" t="s">
        <v>315</v>
      </c>
      <c r="B140" s="117"/>
      <c r="C140" s="117"/>
      <c r="D140" s="117"/>
      <c r="E140" s="117"/>
      <c r="F140" s="117"/>
      <c r="G140" s="117"/>
      <c r="H140" s="117"/>
    </row>
    <row r="141" spans="1:8" x14ac:dyDescent="0.3">
      <c r="A141" s="117" t="s">
        <v>316</v>
      </c>
      <c r="B141" s="117"/>
      <c r="C141" s="117"/>
      <c r="D141" s="117"/>
      <c r="E141" s="117"/>
      <c r="F141" s="117"/>
      <c r="G141" s="117"/>
      <c r="H141" s="117"/>
    </row>
    <row r="142" spans="1:8" x14ac:dyDescent="0.3">
      <c r="A142" s="117" t="s">
        <v>317</v>
      </c>
      <c r="B142" s="117"/>
      <c r="C142" s="117"/>
      <c r="D142" s="117"/>
      <c r="E142" s="117"/>
      <c r="F142" s="117"/>
      <c r="G142" s="117"/>
      <c r="H142" s="117"/>
    </row>
    <row r="143" spans="1:8" x14ac:dyDescent="0.3">
      <c r="A143" s="117" t="s">
        <v>318</v>
      </c>
      <c r="B143" s="117"/>
      <c r="C143" s="117"/>
      <c r="D143" s="117"/>
      <c r="E143" s="117"/>
      <c r="F143" s="117"/>
      <c r="G143" s="117"/>
      <c r="H143" s="117"/>
    </row>
    <row r="144" spans="1:8" x14ac:dyDescent="0.3">
      <c r="A144" s="117" t="s">
        <v>300</v>
      </c>
      <c r="B144" s="117"/>
      <c r="C144" s="117"/>
      <c r="D144" s="117"/>
      <c r="E144" s="117"/>
      <c r="F144" s="117"/>
      <c r="G144" s="117"/>
      <c r="H144" s="117"/>
    </row>
    <row r="145" spans="1:8" x14ac:dyDescent="0.3">
      <c r="A145" s="117" t="s">
        <v>319</v>
      </c>
      <c r="B145" s="117"/>
      <c r="C145" s="117"/>
      <c r="D145" s="117"/>
      <c r="E145" s="117"/>
      <c r="F145" s="117"/>
      <c r="G145" s="117"/>
      <c r="H145" s="117"/>
    </row>
    <row r="146" spans="1:8" x14ac:dyDescent="0.3">
      <c r="A146" s="117" t="s">
        <v>241</v>
      </c>
      <c r="B146" s="117"/>
      <c r="C146" s="117"/>
      <c r="D146" s="117"/>
      <c r="E146" s="117"/>
      <c r="F146" s="117"/>
      <c r="G146" s="117"/>
      <c r="H146" s="117"/>
    </row>
    <row r="147" spans="1:8" x14ac:dyDescent="0.3">
      <c r="A147" s="117" t="s">
        <v>320</v>
      </c>
      <c r="B147" s="117"/>
      <c r="C147" s="117"/>
      <c r="D147" s="117"/>
      <c r="E147" s="117"/>
      <c r="F147" s="117"/>
      <c r="G147" s="117"/>
      <c r="H147" s="117"/>
    </row>
    <row r="148" spans="1:8" x14ac:dyDescent="0.3">
      <c r="A148" s="117" t="s">
        <v>243</v>
      </c>
      <c r="B148" s="117"/>
      <c r="C148" s="117"/>
      <c r="D148" s="117"/>
      <c r="E148" s="117"/>
      <c r="F148" s="117"/>
      <c r="G148" s="117"/>
      <c r="H148" s="117"/>
    </row>
    <row r="149" spans="1:8" x14ac:dyDescent="0.3">
      <c r="A149" s="117" t="s">
        <v>321</v>
      </c>
      <c r="B149" s="117"/>
      <c r="C149" s="117"/>
      <c r="D149" s="117"/>
      <c r="E149" s="117"/>
      <c r="F149" s="117"/>
      <c r="G149" s="117"/>
      <c r="H149" s="117"/>
    </row>
    <row r="150" spans="1:8" x14ac:dyDescent="0.3">
      <c r="A150" s="117" t="s">
        <v>322</v>
      </c>
      <c r="B150" s="117"/>
      <c r="C150" s="117"/>
      <c r="D150" s="117"/>
      <c r="E150" s="117"/>
      <c r="F150" s="117"/>
      <c r="G150" s="117"/>
      <c r="H150" s="117"/>
    </row>
    <row r="151" spans="1:8" x14ac:dyDescent="0.3">
      <c r="A151" s="117" t="s">
        <v>212</v>
      </c>
      <c r="B151" s="117"/>
      <c r="C151" s="117"/>
      <c r="D151" s="117"/>
      <c r="E151" s="117"/>
      <c r="F151" s="117"/>
      <c r="G151" s="117"/>
      <c r="H151" s="117"/>
    </row>
    <row r="152" spans="1:8" x14ac:dyDescent="0.3">
      <c r="A152" s="117" t="s">
        <v>323</v>
      </c>
      <c r="B152" s="117"/>
      <c r="C152" s="117"/>
      <c r="D152" s="117"/>
      <c r="E152" s="117"/>
      <c r="F152" s="117"/>
      <c r="G152" s="117"/>
      <c r="H152" s="117"/>
    </row>
    <row r="153" spans="1:8" x14ac:dyDescent="0.3">
      <c r="A153" s="117" t="s">
        <v>324</v>
      </c>
      <c r="B153" s="117"/>
      <c r="C153" s="117"/>
      <c r="D153" s="117"/>
      <c r="E153" s="117"/>
      <c r="F153" s="117"/>
      <c r="G153" s="117"/>
      <c r="H153" s="117"/>
    </row>
    <row r="154" spans="1:8" x14ac:dyDescent="0.3">
      <c r="A154" s="117" t="s">
        <v>325</v>
      </c>
      <c r="B154" s="117"/>
      <c r="C154" s="117"/>
      <c r="D154" s="117"/>
      <c r="E154" s="117"/>
      <c r="F154" s="117"/>
      <c r="G154" s="117"/>
      <c r="H154" s="117"/>
    </row>
    <row r="155" spans="1:8" x14ac:dyDescent="0.3">
      <c r="A155" s="117" t="s">
        <v>326</v>
      </c>
      <c r="B155" s="117"/>
      <c r="C155" s="117"/>
      <c r="D155" s="117"/>
      <c r="E155" s="117"/>
      <c r="F155" s="117"/>
      <c r="G155" s="117"/>
      <c r="H155" s="117"/>
    </row>
    <row r="156" spans="1:8" x14ac:dyDescent="0.3">
      <c r="A156" s="117" t="s">
        <v>327</v>
      </c>
      <c r="B156" s="117"/>
      <c r="C156" s="117"/>
      <c r="D156" s="117"/>
      <c r="E156" s="117"/>
      <c r="F156" s="117"/>
      <c r="G156" s="117"/>
      <c r="H156" s="117"/>
    </row>
    <row r="157" spans="1:8" x14ac:dyDescent="0.3">
      <c r="A157" s="117" t="s">
        <v>328</v>
      </c>
      <c r="B157" s="117"/>
      <c r="C157" s="117"/>
      <c r="D157" s="117"/>
      <c r="E157" s="117"/>
      <c r="F157" s="117"/>
      <c r="G157" s="117"/>
      <c r="H157" s="117"/>
    </row>
    <row r="158" spans="1:8" x14ac:dyDescent="0.3">
      <c r="A158" s="117" t="s">
        <v>329</v>
      </c>
      <c r="B158" s="117"/>
      <c r="C158" s="117"/>
      <c r="D158" s="117"/>
      <c r="E158" s="117"/>
      <c r="F158" s="117"/>
      <c r="G158" s="117"/>
      <c r="H158" s="117"/>
    </row>
    <row r="159" spans="1:8" x14ac:dyDescent="0.3">
      <c r="A159" s="117" t="s">
        <v>330</v>
      </c>
      <c r="B159" s="117"/>
      <c r="C159" s="117"/>
      <c r="D159" s="117"/>
      <c r="E159" s="117"/>
      <c r="F159" s="117"/>
      <c r="G159" s="117"/>
      <c r="H159" s="117"/>
    </row>
    <row r="160" spans="1:8" x14ac:dyDescent="0.3">
      <c r="A160" s="117" t="s">
        <v>331</v>
      </c>
      <c r="B160" s="117"/>
      <c r="C160" s="117"/>
      <c r="D160" s="117"/>
      <c r="E160" s="117"/>
      <c r="F160" s="117"/>
      <c r="G160" s="117"/>
      <c r="H160" s="117"/>
    </row>
    <row r="161" spans="1:8" x14ac:dyDescent="0.3">
      <c r="A161" s="117" t="s">
        <v>332</v>
      </c>
      <c r="B161" s="117"/>
      <c r="C161" s="117"/>
      <c r="D161" s="117"/>
      <c r="E161" s="117"/>
      <c r="F161" s="117"/>
      <c r="G161" s="117"/>
      <c r="H161" s="117"/>
    </row>
    <row r="162" spans="1:8" x14ac:dyDescent="0.3">
      <c r="A162" s="117" t="s">
        <v>333</v>
      </c>
      <c r="B162" s="117"/>
      <c r="C162" s="117"/>
      <c r="D162" s="117"/>
      <c r="E162" s="117"/>
      <c r="F162" s="117"/>
      <c r="G162" s="117"/>
      <c r="H162" s="117"/>
    </row>
    <row r="163" spans="1:8" x14ac:dyDescent="0.3">
      <c r="A163" s="117" t="s">
        <v>334</v>
      </c>
      <c r="B163" s="117"/>
      <c r="C163" s="117"/>
      <c r="D163" s="117"/>
      <c r="E163" s="117"/>
      <c r="F163" s="117"/>
      <c r="G163" s="117"/>
      <c r="H163" s="117"/>
    </row>
    <row r="164" spans="1:8" x14ac:dyDescent="0.3">
      <c r="A164" s="117" t="s">
        <v>322</v>
      </c>
      <c r="B164" s="117"/>
      <c r="C164" s="117"/>
      <c r="D164" s="117"/>
      <c r="E164" s="117"/>
      <c r="F164" s="117"/>
      <c r="G164" s="117"/>
      <c r="H164" s="117"/>
    </row>
    <row r="165" spans="1:8" x14ac:dyDescent="0.3">
      <c r="A165" s="117" t="s">
        <v>212</v>
      </c>
      <c r="B165" s="117"/>
      <c r="C165" s="117"/>
      <c r="D165" s="117"/>
      <c r="E165" s="117"/>
      <c r="F165" s="117"/>
      <c r="G165" s="117"/>
      <c r="H165" s="117"/>
    </row>
    <row r="166" spans="1:8" x14ac:dyDescent="0.3">
      <c r="A166" s="117" t="s">
        <v>335</v>
      </c>
      <c r="B166" s="117"/>
      <c r="C166" s="117"/>
      <c r="D166" s="117"/>
      <c r="E166" s="117"/>
      <c r="F166" s="117"/>
      <c r="G166" s="117"/>
      <c r="H166" s="117"/>
    </row>
    <row r="167" spans="1:8" x14ac:dyDescent="0.3">
      <c r="A167" s="117" t="s">
        <v>336</v>
      </c>
      <c r="B167" s="117"/>
      <c r="C167" s="117"/>
      <c r="D167" s="117"/>
      <c r="E167" s="117"/>
      <c r="F167" s="117"/>
      <c r="G167" s="117"/>
      <c r="H167" s="117"/>
    </row>
    <row r="168" spans="1:8" x14ac:dyDescent="0.3">
      <c r="A168" s="117" t="s">
        <v>337</v>
      </c>
      <c r="B168" s="117"/>
      <c r="C168" s="117"/>
      <c r="D168" s="117"/>
      <c r="E168" s="117"/>
      <c r="F168" s="117"/>
      <c r="G168" s="117"/>
      <c r="H168" s="117"/>
    </row>
    <row r="169" spans="1:8" x14ac:dyDescent="0.3">
      <c r="A169" s="117" t="s">
        <v>338</v>
      </c>
      <c r="B169" s="117"/>
      <c r="C169" s="117"/>
      <c r="D169" s="117"/>
      <c r="E169" s="117"/>
      <c r="F169" s="117"/>
      <c r="G169" s="117"/>
      <c r="H169" s="117"/>
    </row>
    <row r="170" spans="1:8" x14ac:dyDescent="0.3">
      <c r="A170" s="117" t="s">
        <v>339</v>
      </c>
      <c r="B170" s="117"/>
      <c r="C170" s="117"/>
      <c r="D170" s="117"/>
      <c r="E170" s="117"/>
      <c r="F170" s="117"/>
      <c r="G170" s="117"/>
      <c r="H170" s="117"/>
    </row>
    <row r="171" spans="1:8" x14ac:dyDescent="0.3">
      <c r="A171" s="117" t="s">
        <v>340</v>
      </c>
      <c r="B171" s="117"/>
      <c r="C171" s="117"/>
      <c r="D171" s="117"/>
      <c r="E171" s="117"/>
      <c r="F171" s="117"/>
      <c r="G171" s="117"/>
      <c r="H171" s="117"/>
    </row>
    <row r="172" spans="1:8" x14ac:dyDescent="0.3">
      <c r="A172" s="117" t="s">
        <v>341</v>
      </c>
      <c r="B172" s="117"/>
      <c r="C172" s="117"/>
      <c r="D172" s="117"/>
      <c r="E172" s="117"/>
      <c r="F172" s="117"/>
      <c r="G172" s="117"/>
      <c r="H172" s="117"/>
    </row>
    <row r="173" spans="1:8" x14ac:dyDescent="0.3">
      <c r="A173" s="117" t="s">
        <v>342</v>
      </c>
      <c r="B173" s="117"/>
      <c r="C173" s="117"/>
      <c r="D173" s="117"/>
      <c r="E173" s="117"/>
      <c r="F173" s="117"/>
      <c r="G173" s="117"/>
      <c r="H173" s="117"/>
    </row>
    <row r="174" spans="1:8" x14ac:dyDescent="0.3">
      <c r="A174" s="117" t="s">
        <v>212</v>
      </c>
      <c r="B174" s="117"/>
      <c r="C174" s="117"/>
      <c r="D174" s="117"/>
      <c r="E174" s="117"/>
      <c r="F174" s="117"/>
      <c r="G174" s="117"/>
      <c r="H174" s="117"/>
    </row>
    <row r="175" spans="1:8" x14ac:dyDescent="0.3">
      <c r="A175" s="117" t="s">
        <v>343</v>
      </c>
      <c r="B175" s="117"/>
      <c r="C175" s="117"/>
      <c r="D175" s="117"/>
      <c r="E175" s="117"/>
      <c r="F175" s="117"/>
      <c r="G175" s="117"/>
      <c r="H175" s="117"/>
    </row>
    <row r="176" spans="1:8" x14ac:dyDescent="0.3">
      <c r="A176" s="117" t="s">
        <v>336</v>
      </c>
      <c r="B176" s="117"/>
      <c r="C176" s="117"/>
      <c r="D176" s="117"/>
      <c r="E176" s="117"/>
      <c r="F176" s="117"/>
      <c r="G176" s="117"/>
      <c r="H176" s="117"/>
    </row>
    <row r="177" spans="1:8" x14ac:dyDescent="0.3">
      <c r="A177" s="117" t="s">
        <v>344</v>
      </c>
      <c r="B177" s="117"/>
      <c r="C177" s="117"/>
      <c r="D177" s="117"/>
      <c r="E177" s="117"/>
      <c r="F177" s="117"/>
      <c r="G177" s="117"/>
      <c r="H177" s="117"/>
    </row>
    <row r="178" spans="1:8" x14ac:dyDescent="0.3">
      <c r="A178" s="117" t="s">
        <v>338</v>
      </c>
      <c r="B178" s="117"/>
      <c r="C178" s="117"/>
      <c r="D178" s="117"/>
      <c r="E178" s="117"/>
      <c r="F178" s="117"/>
      <c r="G178" s="117"/>
      <c r="H178" s="117"/>
    </row>
    <row r="179" spans="1:8" x14ac:dyDescent="0.3">
      <c r="A179" s="117" t="s">
        <v>345</v>
      </c>
      <c r="B179" s="117"/>
      <c r="C179" s="117"/>
      <c r="D179" s="117"/>
      <c r="E179" s="117"/>
      <c r="F179" s="117"/>
      <c r="G179" s="117"/>
      <c r="H179" s="117"/>
    </row>
    <row r="180" spans="1:8" x14ac:dyDescent="0.3">
      <c r="A180" s="117" t="s">
        <v>346</v>
      </c>
      <c r="B180" s="117"/>
      <c r="C180" s="117"/>
      <c r="D180" s="117"/>
      <c r="E180" s="117"/>
      <c r="F180" s="117"/>
      <c r="G180" s="117"/>
      <c r="H180" s="117"/>
    </row>
    <row r="181" spans="1:8" x14ac:dyDescent="0.3">
      <c r="A181" s="117" t="s">
        <v>242</v>
      </c>
      <c r="B181" s="117"/>
      <c r="C181" s="117"/>
      <c r="D181" s="117"/>
      <c r="E181" s="117"/>
      <c r="F181" s="117"/>
      <c r="G181" s="117"/>
      <c r="H181" s="117"/>
    </row>
    <row r="182" spans="1:8" x14ac:dyDescent="0.3">
      <c r="A182" s="117" t="s">
        <v>340</v>
      </c>
      <c r="B182" s="117"/>
      <c r="C182" s="117"/>
      <c r="D182" s="117"/>
      <c r="E182" s="117"/>
      <c r="F182" s="117"/>
      <c r="G182" s="117"/>
      <c r="H182" s="117"/>
    </row>
    <row r="183" spans="1:8" x14ac:dyDescent="0.3">
      <c r="A183" s="117" t="s">
        <v>347</v>
      </c>
      <c r="B183" s="117"/>
      <c r="C183" s="117"/>
      <c r="D183" s="117"/>
      <c r="E183" s="117"/>
      <c r="F183" s="117"/>
      <c r="G183" s="117"/>
      <c r="H183" s="117"/>
    </row>
    <row r="184" spans="1:8" x14ac:dyDescent="0.3">
      <c r="A184" s="117" t="s">
        <v>342</v>
      </c>
      <c r="B184" s="117"/>
      <c r="C184" s="117"/>
      <c r="D184" s="117"/>
      <c r="E184" s="117"/>
      <c r="F184" s="117"/>
      <c r="G184" s="117"/>
      <c r="H184" s="117"/>
    </row>
    <row r="185" spans="1:8" x14ac:dyDescent="0.3">
      <c r="A185" s="117" t="s">
        <v>212</v>
      </c>
      <c r="B185" s="117"/>
      <c r="C185" s="117"/>
      <c r="D185" s="117"/>
      <c r="E185" s="117"/>
      <c r="F185" s="117"/>
      <c r="G185" s="117"/>
      <c r="H185" s="117"/>
    </row>
    <row r="186" spans="1:8" x14ac:dyDescent="0.3">
      <c r="A186" s="117" t="s">
        <v>348</v>
      </c>
      <c r="B186" s="117"/>
      <c r="C186" s="117"/>
      <c r="D186" s="117"/>
      <c r="E186" s="117"/>
      <c r="F186" s="117"/>
      <c r="G186" s="117"/>
      <c r="H186" s="117"/>
    </row>
    <row r="187" spans="1:8" x14ac:dyDescent="0.3">
      <c r="A187" s="117" t="s">
        <v>349</v>
      </c>
      <c r="B187" s="117"/>
      <c r="C187" s="117"/>
      <c r="D187" s="117"/>
      <c r="E187" s="117"/>
      <c r="F187" s="117"/>
      <c r="G187" s="117"/>
      <c r="H187" s="117"/>
    </row>
    <row r="188" spans="1:8" x14ac:dyDescent="0.3">
      <c r="A188" s="117" t="s">
        <v>350</v>
      </c>
      <c r="B188" s="117"/>
      <c r="C188" s="117"/>
      <c r="D188" s="117"/>
      <c r="E188" s="117"/>
      <c r="F188" s="117"/>
      <c r="G188" s="117"/>
      <c r="H188" s="117"/>
    </row>
    <row r="189" spans="1:8" x14ac:dyDescent="0.3">
      <c r="A189" s="117" t="s">
        <v>351</v>
      </c>
      <c r="B189" s="117"/>
      <c r="C189" s="117"/>
      <c r="D189" s="117"/>
      <c r="E189" s="117"/>
      <c r="F189" s="117"/>
      <c r="G189" s="117"/>
      <c r="H189" s="117"/>
    </row>
    <row r="190" spans="1:8" x14ac:dyDescent="0.3">
      <c r="A190" s="117" t="s">
        <v>352</v>
      </c>
      <c r="B190" s="117"/>
      <c r="C190" s="117"/>
      <c r="D190" s="117"/>
      <c r="E190" s="117"/>
      <c r="F190" s="117"/>
      <c r="G190" s="117"/>
      <c r="H190" s="117"/>
    </row>
    <row r="191" spans="1:8" x14ac:dyDescent="0.3">
      <c r="A191" s="117" t="s">
        <v>353</v>
      </c>
      <c r="B191" s="117"/>
      <c r="C191" s="117"/>
      <c r="D191" s="117"/>
      <c r="E191" s="117"/>
      <c r="F191" s="117"/>
      <c r="G191" s="117"/>
      <c r="H191" s="117"/>
    </row>
    <row r="192" spans="1:8" x14ac:dyDescent="0.3">
      <c r="A192" s="117" t="s">
        <v>354</v>
      </c>
      <c r="B192" s="117"/>
      <c r="C192" s="117"/>
      <c r="D192" s="117"/>
      <c r="E192" s="117"/>
      <c r="F192" s="117"/>
      <c r="G192" s="117"/>
      <c r="H192" s="117"/>
    </row>
    <row r="193" spans="1:8" x14ac:dyDescent="0.3">
      <c r="A193" s="117" t="s">
        <v>355</v>
      </c>
      <c r="B193" s="117"/>
      <c r="C193" s="117"/>
      <c r="D193" s="117"/>
      <c r="E193" s="117"/>
      <c r="F193" s="117"/>
      <c r="G193" s="117"/>
      <c r="H193" s="117"/>
    </row>
    <row r="194" spans="1:8" x14ac:dyDescent="0.3">
      <c r="A194" s="117" t="s">
        <v>356</v>
      </c>
      <c r="B194" s="117"/>
      <c r="C194" s="117"/>
      <c r="D194" s="117"/>
      <c r="E194" s="117"/>
      <c r="F194" s="117"/>
      <c r="G194" s="117"/>
      <c r="H194" s="117"/>
    </row>
    <row r="195" spans="1:8" x14ac:dyDescent="0.3">
      <c r="A195" s="117" t="s">
        <v>357</v>
      </c>
      <c r="B195" s="117"/>
      <c r="C195" s="117"/>
      <c r="D195" s="117"/>
      <c r="E195" s="117"/>
      <c r="F195" s="117"/>
      <c r="G195" s="117"/>
      <c r="H195" s="117"/>
    </row>
    <row r="196" spans="1:8" x14ac:dyDescent="0.3">
      <c r="A196" s="117" t="s">
        <v>358</v>
      </c>
      <c r="B196" s="117"/>
      <c r="C196" s="117"/>
      <c r="D196" s="117"/>
      <c r="E196" s="117"/>
      <c r="F196" s="117"/>
      <c r="G196" s="117"/>
      <c r="H196" s="117"/>
    </row>
    <row r="197" spans="1:8" x14ac:dyDescent="0.3">
      <c r="A197" s="117" t="s">
        <v>264</v>
      </c>
      <c r="B197" s="117"/>
      <c r="C197" s="117"/>
      <c r="D197" s="117"/>
      <c r="E197" s="117"/>
      <c r="F197" s="117"/>
      <c r="G197" s="117"/>
      <c r="H197" s="117"/>
    </row>
    <row r="198" spans="1:8" x14ac:dyDescent="0.3">
      <c r="A198" s="117" t="s">
        <v>359</v>
      </c>
      <c r="B198" s="117"/>
      <c r="C198" s="117"/>
      <c r="D198" s="117"/>
      <c r="E198" s="117"/>
      <c r="F198" s="117"/>
      <c r="G198" s="117"/>
      <c r="H198" s="117"/>
    </row>
    <row r="199" spans="1:8" x14ac:dyDescent="0.3">
      <c r="A199" s="117" t="s">
        <v>322</v>
      </c>
      <c r="B199" s="117"/>
      <c r="C199" s="117"/>
      <c r="D199" s="117"/>
      <c r="E199" s="117"/>
      <c r="F199" s="117"/>
      <c r="G199" s="117"/>
      <c r="H199" s="117"/>
    </row>
    <row r="200" spans="1:8" x14ac:dyDescent="0.3">
      <c r="A200" s="117" t="s">
        <v>212</v>
      </c>
      <c r="B200" s="117"/>
      <c r="C200" s="117"/>
      <c r="D200" s="117"/>
      <c r="E200" s="117"/>
      <c r="F200" s="117"/>
      <c r="G200" s="117"/>
      <c r="H200" s="117"/>
    </row>
    <row r="201" spans="1:8" x14ac:dyDescent="0.3">
      <c r="A201" s="117" t="s">
        <v>360</v>
      </c>
      <c r="B201" s="117"/>
      <c r="C201" s="117"/>
      <c r="D201" s="117"/>
      <c r="E201" s="117"/>
      <c r="F201" s="117"/>
      <c r="G201" s="117"/>
      <c r="H201" s="117"/>
    </row>
    <row r="202" spans="1:8" x14ac:dyDescent="0.3">
      <c r="A202" s="117" t="s">
        <v>361</v>
      </c>
      <c r="B202" s="117"/>
      <c r="C202" s="117"/>
      <c r="D202" s="117"/>
      <c r="E202" s="117"/>
      <c r="F202" s="117"/>
      <c r="G202" s="117"/>
      <c r="H202" s="117"/>
    </row>
    <row r="203" spans="1:8" x14ac:dyDescent="0.3">
      <c r="A203" s="117" t="s">
        <v>362</v>
      </c>
      <c r="B203" s="117"/>
      <c r="C203" s="117"/>
      <c r="D203" s="117"/>
      <c r="E203" s="117"/>
      <c r="F203" s="117"/>
      <c r="G203" s="117"/>
      <c r="H203" s="117"/>
    </row>
    <row r="204" spans="1:8" x14ac:dyDescent="0.3">
      <c r="A204" s="117" t="s">
        <v>363</v>
      </c>
      <c r="B204" s="117"/>
      <c r="C204" s="117"/>
      <c r="D204" s="117"/>
      <c r="E204" s="117"/>
      <c r="F204" s="117"/>
      <c r="G204" s="117"/>
      <c r="H204" s="117"/>
    </row>
    <row r="205" spans="1:8" x14ac:dyDescent="0.3">
      <c r="A205" s="117" t="s">
        <v>364</v>
      </c>
      <c r="B205" s="117"/>
      <c r="C205" s="117"/>
      <c r="D205" s="117"/>
      <c r="E205" s="117"/>
      <c r="F205" s="117"/>
      <c r="G205" s="117"/>
      <c r="H205" s="117"/>
    </row>
    <row r="206" spans="1:8" x14ac:dyDescent="0.3">
      <c r="A206" s="117" t="s">
        <v>365</v>
      </c>
      <c r="B206" s="117"/>
      <c r="C206" s="117"/>
      <c r="D206" s="117"/>
      <c r="E206" s="117"/>
      <c r="F206" s="117"/>
      <c r="G206" s="117"/>
      <c r="H206" s="117"/>
    </row>
    <row r="207" spans="1:8" x14ac:dyDescent="0.3">
      <c r="A207" s="117" t="s">
        <v>342</v>
      </c>
      <c r="B207" s="117"/>
      <c r="C207" s="117"/>
      <c r="D207" s="117"/>
      <c r="E207" s="117"/>
      <c r="F207" s="117"/>
      <c r="G207" s="117"/>
      <c r="H207" s="117"/>
    </row>
    <row r="208" spans="1:8" x14ac:dyDescent="0.3">
      <c r="A208" s="117" t="s">
        <v>212</v>
      </c>
      <c r="B208" s="117"/>
      <c r="C208" s="117"/>
      <c r="D208" s="117"/>
      <c r="E208" s="117"/>
      <c r="F208" s="117"/>
      <c r="G208" s="117"/>
      <c r="H208" s="117"/>
    </row>
    <row r="209" spans="1:8" x14ac:dyDescent="0.3">
      <c r="A209" s="117" t="s">
        <v>366</v>
      </c>
      <c r="B209" s="117"/>
      <c r="C209" s="117"/>
      <c r="D209" s="117"/>
      <c r="E209" s="117"/>
      <c r="F209" s="117"/>
      <c r="G209" s="117"/>
      <c r="H209" s="117"/>
    </row>
    <row r="210" spans="1:8" x14ac:dyDescent="0.3">
      <c r="A210" s="117" t="s">
        <v>367</v>
      </c>
      <c r="B210" s="117"/>
      <c r="C210" s="117"/>
      <c r="D210" s="117"/>
      <c r="E210" s="117"/>
      <c r="F210" s="117"/>
      <c r="G210" s="117"/>
      <c r="H210" s="117"/>
    </row>
    <row r="211" spans="1:8" x14ac:dyDescent="0.3">
      <c r="A211" s="117" t="s">
        <v>368</v>
      </c>
      <c r="B211" s="117"/>
      <c r="C211" s="117"/>
      <c r="D211" s="117"/>
      <c r="E211" s="117"/>
      <c r="F211" s="117"/>
      <c r="G211" s="117"/>
      <c r="H211" s="117"/>
    </row>
    <row r="212" spans="1:8" x14ac:dyDescent="0.3">
      <c r="A212" s="117" t="s">
        <v>369</v>
      </c>
      <c r="B212" s="117"/>
      <c r="C212" s="117"/>
      <c r="D212" s="117"/>
      <c r="E212" s="117"/>
      <c r="F212" s="117"/>
      <c r="G212" s="117"/>
      <c r="H212" s="117"/>
    </row>
    <row r="213" spans="1:8" x14ac:dyDescent="0.3">
      <c r="A213" s="117" t="s">
        <v>370</v>
      </c>
      <c r="B213" s="117"/>
      <c r="C213" s="117"/>
      <c r="D213" s="117"/>
      <c r="E213" s="117"/>
      <c r="F213" s="117"/>
      <c r="G213" s="117"/>
      <c r="H213" s="117"/>
    </row>
    <row r="214" spans="1:8" x14ac:dyDescent="0.3">
      <c r="A214" s="117" t="s">
        <v>371</v>
      </c>
      <c r="B214" s="117"/>
      <c r="C214" s="117"/>
      <c r="D214" s="117"/>
      <c r="E214" s="117"/>
      <c r="F214" s="117"/>
      <c r="G214" s="117"/>
      <c r="H214" s="117"/>
    </row>
    <row r="215" spans="1:8" x14ac:dyDescent="0.3">
      <c r="A215" s="117" t="s">
        <v>372</v>
      </c>
      <c r="B215" s="117"/>
      <c r="C215" s="117"/>
      <c r="D215" s="117"/>
      <c r="E215" s="117"/>
      <c r="F215" s="117"/>
      <c r="G215" s="117"/>
      <c r="H215" s="117"/>
    </row>
    <row r="216" spans="1:8" x14ac:dyDescent="0.3">
      <c r="A216" s="117" t="s">
        <v>373</v>
      </c>
      <c r="B216" s="117"/>
      <c r="C216" s="117"/>
      <c r="D216" s="117"/>
      <c r="E216" s="117"/>
      <c r="F216" s="117"/>
      <c r="G216" s="117"/>
      <c r="H216" s="117"/>
    </row>
    <row r="217" spans="1:8" x14ac:dyDescent="0.3">
      <c r="A217" s="117" t="s">
        <v>374</v>
      </c>
      <c r="B217" s="117"/>
      <c r="C217" s="117"/>
      <c r="D217" s="117"/>
      <c r="E217" s="117"/>
      <c r="F217" s="117"/>
      <c r="G217" s="117"/>
      <c r="H217" s="117"/>
    </row>
    <row r="218" spans="1:8" x14ac:dyDescent="0.3">
      <c r="A218" s="117" t="s">
        <v>253</v>
      </c>
      <c r="B218" s="117"/>
      <c r="C218" s="117"/>
      <c r="D218" s="117"/>
      <c r="E218" s="117"/>
      <c r="F218" s="117"/>
      <c r="G218" s="117"/>
      <c r="H218" s="117"/>
    </row>
    <row r="219" spans="1:8" x14ac:dyDescent="0.3">
      <c r="A219" s="117" t="s">
        <v>375</v>
      </c>
      <c r="B219" s="117"/>
      <c r="C219" s="117"/>
      <c r="D219" s="117"/>
      <c r="E219" s="117"/>
      <c r="F219" s="117"/>
      <c r="G219" s="117"/>
      <c r="H219" s="117"/>
    </row>
    <row r="220" spans="1:8" x14ac:dyDescent="0.3">
      <c r="A220" s="117" t="s">
        <v>342</v>
      </c>
      <c r="B220" s="117"/>
      <c r="C220" s="117"/>
      <c r="D220" s="117"/>
      <c r="E220" s="117"/>
      <c r="F220" s="117"/>
      <c r="G220" s="117"/>
      <c r="H220" s="117"/>
    </row>
    <row r="221" spans="1:8" x14ac:dyDescent="0.3">
      <c r="A221" s="117" t="s">
        <v>212</v>
      </c>
      <c r="B221" s="117"/>
      <c r="C221" s="117"/>
      <c r="D221" s="117"/>
      <c r="E221" s="117"/>
      <c r="F221" s="117"/>
      <c r="G221" s="117"/>
      <c r="H221" s="117"/>
    </row>
    <row r="222" spans="1:8" x14ac:dyDescent="0.3">
      <c r="A222" s="117" t="s">
        <v>376</v>
      </c>
      <c r="B222" s="117"/>
      <c r="C222" s="117"/>
      <c r="D222" s="117"/>
      <c r="E222" s="117"/>
      <c r="F222" s="117"/>
      <c r="G222" s="117"/>
      <c r="H222" s="117"/>
    </row>
    <row r="223" spans="1:8" x14ac:dyDescent="0.3">
      <c r="A223" s="117" t="s">
        <v>377</v>
      </c>
      <c r="B223" s="117"/>
      <c r="C223" s="117"/>
      <c r="D223" s="117"/>
      <c r="E223" s="117"/>
      <c r="F223" s="117"/>
      <c r="G223" s="117"/>
      <c r="H223" s="117"/>
    </row>
    <row r="224" spans="1:8" x14ac:dyDescent="0.3">
      <c r="A224" s="117" t="s">
        <v>378</v>
      </c>
      <c r="B224" s="117"/>
      <c r="C224" s="117"/>
      <c r="D224" s="117"/>
      <c r="E224" s="117"/>
      <c r="F224" s="117"/>
      <c r="G224" s="117"/>
      <c r="H224" s="117"/>
    </row>
    <row r="225" spans="1:8" x14ac:dyDescent="0.3">
      <c r="A225" s="117" t="s">
        <v>379</v>
      </c>
      <c r="B225" s="117"/>
      <c r="C225" s="117"/>
      <c r="D225" s="117"/>
      <c r="E225" s="117"/>
      <c r="F225" s="117"/>
      <c r="G225" s="117"/>
      <c r="H225" s="117"/>
    </row>
    <row r="226" spans="1:8" x14ac:dyDescent="0.3">
      <c r="A226" s="117" t="s">
        <v>380</v>
      </c>
      <c r="B226" s="117"/>
      <c r="C226" s="117"/>
      <c r="D226" s="117"/>
      <c r="E226" s="117"/>
      <c r="F226" s="117"/>
      <c r="G226" s="117"/>
      <c r="H226" s="117"/>
    </row>
    <row r="227" spans="1:8" x14ac:dyDescent="0.3">
      <c r="A227" s="117" t="s">
        <v>381</v>
      </c>
      <c r="B227" s="117"/>
      <c r="C227" s="117"/>
      <c r="D227" s="117"/>
      <c r="E227" s="117"/>
      <c r="F227" s="117"/>
      <c r="G227" s="117"/>
      <c r="H227" s="117"/>
    </row>
    <row r="228" spans="1:8" x14ac:dyDescent="0.3">
      <c r="A228" s="117" t="s">
        <v>382</v>
      </c>
      <c r="B228" s="117"/>
      <c r="C228" s="117"/>
      <c r="D228" s="117"/>
      <c r="E228" s="117"/>
      <c r="F228" s="117"/>
      <c r="G228" s="117"/>
      <c r="H228" s="117"/>
    </row>
    <row r="229" spans="1:8" x14ac:dyDescent="0.3">
      <c r="A229" s="117" t="s">
        <v>383</v>
      </c>
      <c r="B229" s="117"/>
      <c r="C229" s="117"/>
      <c r="D229" s="117"/>
      <c r="E229" s="117"/>
      <c r="F229" s="117"/>
      <c r="G229" s="117"/>
      <c r="H229" s="117"/>
    </row>
    <row r="230" spans="1:8" x14ac:dyDescent="0.3">
      <c r="A230" s="117" t="s">
        <v>384</v>
      </c>
      <c r="B230" s="117"/>
      <c r="C230" s="117"/>
      <c r="D230" s="117"/>
      <c r="E230" s="117"/>
      <c r="F230" s="117"/>
      <c r="G230" s="117"/>
      <c r="H230" s="117"/>
    </row>
    <row r="231" spans="1:8" x14ac:dyDescent="0.3">
      <c r="A231" s="117" t="s">
        <v>385</v>
      </c>
      <c r="B231" s="117"/>
      <c r="C231" s="117"/>
      <c r="D231" s="117"/>
      <c r="E231" s="117"/>
      <c r="F231" s="117"/>
      <c r="G231" s="117"/>
      <c r="H231" s="117"/>
    </row>
    <row r="232" spans="1:8" x14ac:dyDescent="0.3">
      <c r="A232" s="117" t="s">
        <v>386</v>
      </c>
      <c r="B232" s="117"/>
      <c r="C232" s="117"/>
      <c r="D232" s="117"/>
      <c r="E232" s="117"/>
      <c r="F232" s="117"/>
      <c r="G232" s="117"/>
      <c r="H232" s="117"/>
    </row>
    <row r="233" spans="1:8" x14ac:dyDescent="0.3">
      <c r="A233" s="117" t="s">
        <v>387</v>
      </c>
      <c r="B233" s="117"/>
      <c r="C233" s="117"/>
      <c r="D233" s="117"/>
      <c r="E233" s="117"/>
      <c r="F233" s="117"/>
      <c r="G233" s="117"/>
      <c r="H233" s="117"/>
    </row>
    <row r="234" spans="1:8" x14ac:dyDescent="0.3">
      <c r="A234" s="117" t="s">
        <v>388</v>
      </c>
      <c r="B234" s="117"/>
      <c r="C234" s="117"/>
      <c r="D234" s="117"/>
      <c r="E234" s="117"/>
      <c r="F234" s="117"/>
      <c r="G234" s="117"/>
      <c r="H234" s="117"/>
    </row>
    <row r="235" spans="1:8" x14ac:dyDescent="0.3">
      <c r="A235" s="117" t="s">
        <v>242</v>
      </c>
      <c r="B235" s="117"/>
      <c r="C235" s="117"/>
      <c r="D235" s="117"/>
      <c r="E235" s="117"/>
      <c r="F235" s="117"/>
      <c r="G235" s="117"/>
      <c r="H235" s="117"/>
    </row>
    <row r="236" spans="1:8" x14ac:dyDescent="0.3">
      <c r="A236" s="117" t="s">
        <v>389</v>
      </c>
      <c r="B236" s="117"/>
      <c r="C236" s="117"/>
      <c r="D236" s="117"/>
      <c r="E236" s="117"/>
      <c r="F236" s="117"/>
      <c r="G236" s="117"/>
      <c r="H236" s="117"/>
    </row>
    <row r="237" spans="1:8" x14ac:dyDescent="0.3">
      <c r="A237" s="117" t="s">
        <v>322</v>
      </c>
      <c r="B237" s="117"/>
      <c r="C237" s="117"/>
      <c r="D237" s="117"/>
      <c r="E237" s="117"/>
      <c r="F237" s="117"/>
      <c r="G237" s="117"/>
      <c r="H237" s="117"/>
    </row>
    <row r="238" spans="1:8" x14ac:dyDescent="0.3">
      <c r="A238" s="117" t="s">
        <v>212</v>
      </c>
      <c r="B238" s="117"/>
      <c r="C238" s="117"/>
      <c r="D238" s="117"/>
      <c r="E238" s="117"/>
      <c r="F238" s="117"/>
      <c r="G238" s="117"/>
      <c r="H238" s="117"/>
    </row>
    <row r="239" spans="1:8" x14ac:dyDescent="0.3">
      <c r="A239" s="117" t="s">
        <v>390</v>
      </c>
      <c r="B239" s="117"/>
      <c r="C239" s="117"/>
      <c r="D239" s="117"/>
      <c r="E239" s="117"/>
      <c r="F239" s="117"/>
      <c r="G239" s="117"/>
      <c r="H239" s="117"/>
    </row>
    <row r="240" spans="1:8" x14ac:dyDescent="0.3">
      <c r="A240" s="117" t="s">
        <v>391</v>
      </c>
      <c r="B240" s="117"/>
      <c r="C240" s="117"/>
      <c r="D240" s="117"/>
      <c r="E240" s="117"/>
      <c r="F240" s="117"/>
      <c r="G240" s="117"/>
      <c r="H240" s="117"/>
    </row>
    <row r="241" spans="1:8" x14ac:dyDescent="0.3">
      <c r="A241" s="117" t="s">
        <v>336</v>
      </c>
      <c r="B241" s="117"/>
      <c r="C241" s="117"/>
      <c r="D241" s="117"/>
      <c r="E241" s="117"/>
      <c r="F241" s="117"/>
      <c r="G241" s="117"/>
      <c r="H241" s="117"/>
    </row>
    <row r="242" spans="1:8" x14ac:dyDescent="0.3">
      <c r="A242" s="117" t="s">
        <v>392</v>
      </c>
      <c r="B242" s="117"/>
      <c r="C242" s="117"/>
      <c r="D242" s="117"/>
      <c r="E242" s="117"/>
      <c r="F242" s="117"/>
      <c r="G242" s="117"/>
      <c r="H242" s="117"/>
    </row>
    <row r="243" spans="1:8" x14ac:dyDescent="0.3">
      <c r="A243" s="117" t="s">
        <v>338</v>
      </c>
      <c r="B243" s="117"/>
      <c r="C243" s="117"/>
      <c r="D243" s="117"/>
      <c r="E243" s="117"/>
      <c r="F243" s="117"/>
      <c r="G243" s="117"/>
      <c r="H243" s="117"/>
    </row>
    <row r="244" spans="1:8" x14ac:dyDescent="0.3">
      <c r="A244" s="117" t="s">
        <v>345</v>
      </c>
      <c r="B244" s="117"/>
      <c r="C244" s="117"/>
      <c r="D244" s="117"/>
      <c r="E244" s="117"/>
      <c r="F244" s="117"/>
      <c r="G244" s="117"/>
      <c r="H244" s="117"/>
    </row>
    <row r="245" spans="1:8" x14ac:dyDescent="0.3">
      <c r="A245" s="117" t="s">
        <v>393</v>
      </c>
      <c r="B245" s="117"/>
      <c r="C245" s="117"/>
      <c r="D245" s="117"/>
      <c r="E245" s="117"/>
      <c r="F245" s="117"/>
      <c r="G245" s="117"/>
      <c r="H245" s="117"/>
    </row>
    <row r="246" spans="1:8" x14ac:dyDescent="0.3">
      <c r="A246" s="117" t="s">
        <v>394</v>
      </c>
      <c r="B246" s="117"/>
      <c r="C246" s="117"/>
      <c r="D246" s="117"/>
      <c r="E246" s="117"/>
      <c r="F246" s="117"/>
      <c r="G246" s="117"/>
      <c r="H246" s="117"/>
    </row>
    <row r="247" spans="1:8" x14ac:dyDescent="0.3">
      <c r="A247" s="117" t="s">
        <v>395</v>
      </c>
      <c r="B247" s="117"/>
      <c r="C247" s="117"/>
      <c r="D247" s="117"/>
      <c r="E247" s="117"/>
      <c r="F247" s="117"/>
      <c r="G247" s="117"/>
      <c r="H247" s="117"/>
    </row>
    <row r="248" spans="1:8" x14ac:dyDescent="0.3">
      <c r="A248" s="117" t="s">
        <v>396</v>
      </c>
      <c r="B248" s="117"/>
      <c r="C248" s="117"/>
      <c r="D248" s="117"/>
      <c r="E248" s="117"/>
      <c r="F248" s="117"/>
      <c r="G248" s="117"/>
      <c r="H248" s="117"/>
    </row>
    <row r="249" spans="1:8" x14ac:dyDescent="0.3">
      <c r="A249" s="117" t="s">
        <v>242</v>
      </c>
      <c r="B249" s="117"/>
      <c r="C249" s="117"/>
      <c r="D249" s="117"/>
      <c r="E249" s="117"/>
      <c r="F249" s="117"/>
      <c r="G249" s="117"/>
      <c r="H249" s="117"/>
    </row>
    <row r="250" spans="1:8" x14ac:dyDescent="0.3">
      <c r="A250" s="117" t="s">
        <v>340</v>
      </c>
      <c r="B250" s="117"/>
      <c r="C250" s="117"/>
      <c r="D250" s="117"/>
      <c r="E250" s="117"/>
      <c r="F250" s="117"/>
      <c r="G250" s="117"/>
      <c r="H250" s="117"/>
    </row>
    <row r="251" spans="1:8" x14ac:dyDescent="0.3">
      <c r="A251" s="117" t="s">
        <v>397</v>
      </c>
      <c r="B251" s="117"/>
      <c r="C251" s="117"/>
      <c r="D251" s="117"/>
      <c r="E251" s="117"/>
      <c r="F251" s="117"/>
      <c r="G251" s="117"/>
      <c r="H251" s="117"/>
    </row>
    <row r="252" spans="1:8" x14ac:dyDescent="0.3">
      <c r="A252" s="117" t="s">
        <v>398</v>
      </c>
      <c r="B252" s="117"/>
      <c r="C252" s="117"/>
      <c r="D252" s="117"/>
      <c r="E252" s="117"/>
      <c r="F252" s="117"/>
      <c r="G252" s="117"/>
      <c r="H252" s="117"/>
    </row>
    <row r="253" spans="1:8" x14ac:dyDescent="0.3">
      <c r="A253" s="117" t="s">
        <v>253</v>
      </c>
      <c r="B253" s="117"/>
      <c r="C253" s="117"/>
      <c r="D253" s="117"/>
      <c r="E253" s="117"/>
      <c r="F253" s="117"/>
      <c r="G253" s="117"/>
      <c r="H253" s="117"/>
    </row>
    <row r="254" spans="1:8" x14ac:dyDescent="0.3">
      <c r="A254" s="117" t="s">
        <v>399</v>
      </c>
      <c r="B254" s="117"/>
      <c r="C254" s="117"/>
      <c r="D254" s="117"/>
      <c r="E254" s="117"/>
      <c r="F254" s="117"/>
      <c r="G254" s="117"/>
      <c r="H254" s="117"/>
    </row>
    <row r="255" spans="1:8" x14ac:dyDescent="0.3">
      <c r="A255" s="117" t="s">
        <v>342</v>
      </c>
      <c r="B255" s="117"/>
      <c r="C255" s="117"/>
      <c r="D255" s="117"/>
      <c r="E255" s="117"/>
      <c r="F255" s="117"/>
      <c r="G255" s="117"/>
      <c r="H255" s="117"/>
    </row>
    <row r="256" spans="1:8" x14ac:dyDescent="0.3">
      <c r="A256" s="117" t="s">
        <v>212</v>
      </c>
      <c r="B256" s="117"/>
      <c r="C256" s="117"/>
      <c r="D256" s="117"/>
      <c r="E256" s="117"/>
      <c r="F256" s="117"/>
      <c r="G256" s="117"/>
      <c r="H256" s="117"/>
    </row>
    <row r="257" spans="1:8" x14ac:dyDescent="0.3">
      <c r="A257" s="117" t="s">
        <v>400</v>
      </c>
      <c r="B257" s="117"/>
      <c r="C257" s="117"/>
      <c r="D257" s="117"/>
      <c r="E257" s="117"/>
      <c r="F257" s="117"/>
      <c r="G257" s="117"/>
      <c r="H257" s="117"/>
    </row>
    <row r="258" spans="1:8" x14ac:dyDescent="0.3">
      <c r="A258" s="117" t="s">
        <v>336</v>
      </c>
      <c r="B258" s="117"/>
      <c r="C258" s="117"/>
      <c r="D258" s="117"/>
      <c r="E258" s="117"/>
      <c r="F258" s="117"/>
      <c r="G258" s="117"/>
      <c r="H258" s="117"/>
    </row>
    <row r="259" spans="1:8" x14ac:dyDescent="0.3">
      <c r="A259" s="117" t="s">
        <v>392</v>
      </c>
      <c r="B259" s="117"/>
      <c r="C259" s="117"/>
      <c r="D259" s="117"/>
      <c r="E259" s="117"/>
      <c r="F259" s="117"/>
      <c r="G259" s="117"/>
      <c r="H259" s="117"/>
    </row>
    <row r="260" spans="1:8" x14ac:dyDescent="0.3">
      <c r="A260" s="117" t="s">
        <v>338</v>
      </c>
      <c r="B260" s="117"/>
      <c r="C260" s="117"/>
      <c r="D260" s="117"/>
      <c r="E260" s="117"/>
      <c r="F260" s="117"/>
      <c r="G260" s="117"/>
      <c r="H260" s="117"/>
    </row>
    <row r="261" spans="1:8" x14ac:dyDescent="0.3">
      <c r="A261" s="117" t="s">
        <v>345</v>
      </c>
      <c r="B261" s="117"/>
      <c r="C261" s="117"/>
      <c r="D261" s="117"/>
      <c r="E261" s="117"/>
      <c r="F261" s="117"/>
      <c r="G261" s="117"/>
      <c r="H261" s="117"/>
    </row>
    <row r="262" spans="1:8" x14ac:dyDescent="0.3">
      <c r="A262" s="117" t="s">
        <v>393</v>
      </c>
      <c r="B262" s="117"/>
      <c r="C262" s="117"/>
      <c r="D262" s="117"/>
      <c r="E262" s="117"/>
      <c r="F262" s="117"/>
      <c r="G262" s="117"/>
      <c r="H262" s="117"/>
    </row>
    <row r="263" spans="1:8" x14ac:dyDescent="0.3">
      <c r="A263" s="117" t="s">
        <v>394</v>
      </c>
      <c r="B263" s="117"/>
      <c r="C263" s="117"/>
      <c r="D263" s="117"/>
      <c r="E263" s="117"/>
      <c r="F263" s="117"/>
      <c r="G263" s="117"/>
      <c r="H263" s="117"/>
    </row>
    <row r="264" spans="1:8" x14ac:dyDescent="0.3">
      <c r="A264" s="117" t="s">
        <v>401</v>
      </c>
      <c r="B264" s="117"/>
      <c r="C264" s="117"/>
      <c r="D264" s="117"/>
      <c r="E264" s="117"/>
      <c r="F264" s="117"/>
      <c r="G264" s="117"/>
      <c r="H264" s="117"/>
    </row>
    <row r="265" spans="1:8" x14ac:dyDescent="0.3">
      <c r="A265" s="117" t="s">
        <v>396</v>
      </c>
      <c r="B265" s="117"/>
      <c r="C265" s="117"/>
      <c r="D265" s="117"/>
      <c r="E265" s="117"/>
      <c r="F265" s="117"/>
      <c r="G265" s="117"/>
      <c r="H265" s="117"/>
    </row>
    <row r="266" spans="1:8" x14ac:dyDescent="0.3">
      <c r="A266" s="117" t="s">
        <v>242</v>
      </c>
      <c r="B266" s="117"/>
      <c r="C266" s="117"/>
      <c r="D266" s="117"/>
      <c r="E266" s="117"/>
      <c r="F266" s="117"/>
      <c r="G266" s="117"/>
      <c r="H266" s="117"/>
    </row>
    <row r="267" spans="1:8" x14ac:dyDescent="0.3">
      <c r="A267" s="117" t="s">
        <v>340</v>
      </c>
      <c r="B267" s="117"/>
      <c r="C267" s="117"/>
      <c r="D267" s="117"/>
      <c r="E267" s="117"/>
      <c r="F267" s="117"/>
      <c r="G267" s="117"/>
      <c r="H267" s="117"/>
    </row>
    <row r="268" spans="1:8" x14ac:dyDescent="0.3">
      <c r="A268" s="117" t="s">
        <v>322</v>
      </c>
      <c r="B268" s="117"/>
      <c r="C268" s="117"/>
      <c r="D268" s="117"/>
      <c r="E268" s="117"/>
      <c r="F268" s="117"/>
      <c r="G268" s="117"/>
      <c r="H268" s="117"/>
    </row>
    <row r="269" spans="1:8" x14ac:dyDescent="0.3">
      <c r="A269" s="117" t="s">
        <v>212</v>
      </c>
      <c r="B269" s="117"/>
      <c r="C269" s="117"/>
      <c r="D269" s="117"/>
      <c r="E269" s="117"/>
      <c r="F269" s="117"/>
      <c r="G269" s="117"/>
      <c r="H269" s="117"/>
    </row>
    <row r="270" spans="1:8" x14ac:dyDescent="0.3">
      <c r="A270" s="117" t="s">
        <v>402</v>
      </c>
      <c r="B270" s="117"/>
      <c r="C270" s="117"/>
      <c r="D270" s="117"/>
      <c r="E270" s="117"/>
      <c r="F270" s="117"/>
      <c r="G270" s="117"/>
      <c r="H270" s="117"/>
    </row>
    <row r="271" spans="1:8" x14ac:dyDescent="0.3">
      <c r="A271" s="117" t="s">
        <v>214</v>
      </c>
      <c r="B271" s="117"/>
      <c r="C271" s="117"/>
      <c r="D271" s="117"/>
      <c r="E271" s="117"/>
      <c r="F271" s="117"/>
      <c r="G271" s="117"/>
      <c r="H271" s="117"/>
    </row>
    <row r="272" spans="1:8" x14ac:dyDescent="0.3">
      <c r="A272" s="117" t="s">
        <v>403</v>
      </c>
      <c r="B272" s="117"/>
      <c r="C272" s="117"/>
      <c r="D272" s="117"/>
      <c r="E272" s="117"/>
      <c r="F272" s="117"/>
      <c r="G272" s="117"/>
      <c r="H272" s="117"/>
    </row>
    <row r="273" spans="1:8" x14ac:dyDescent="0.3">
      <c r="A273" s="117" t="s">
        <v>273</v>
      </c>
      <c r="B273" s="117"/>
      <c r="C273" s="117"/>
      <c r="D273" s="117"/>
      <c r="E273" s="117"/>
      <c r="F273" s="117"/>
      <c r="G273" s="117"/>
      <c r="H273" s="117"/>
    </row>
    <row r="274" spans="1:8" x14ac:dyDescent="0.3">
      <c r="A274" s="117" t="s">
        <v>404</v>
      </c>
      <c r="B274" s="117"/>
      <c r="C274" s="117"/>
      <c r="D274" s="117"/>
      <c r="E274" s="117"/>
      <c r="F274" s="117"/>
      <c r="G274" s="117"/>
      <c r="H274" s="117"/>
    </row>
    <row r="275" spans="1:8" x14ac:dyDescent="0.3">
      <c r="A275" s="117" t="s">
        <v>243</v>
      </c>
      <c r="B275" s="117"/>
      <c r="C275" s="117"/>
      <c r="D275" s="117"/>
      <c r="E275" s="117"/>
      <c r="F275" s="117"/>
      <c r="G275" s="117"/>
      <c r="H275" s="117"/>
    </row>
    <row r="276" spans="1:8" x14ac:dyDescent="0.3">
      <c r="A276" s="117" t="s">
        <v>322</v>
      </c>
      <c r="B276" s="117"/>
      <c r="C276" s="117"/>
      <c r="D276" s="117"/>
      <c r="E276" s="117"/>
      <c r="F276" s="117"/>
      <c r="G276" s="117"/>
      <c r="H276" s="117"/>
    </row>
    <row r="277" spans="1:8" x14ac:dyDescent="0.3">
      <c r="A277" s="117" t="s">
        <v>212</v>
      </c>
      <c r="B277" s="117"/>
      <c r="C277" s="117"/>
      <c r="D277" s="117"/>
      <c r="E277" s="117"/>
      <c r="F277" s="117"/>
      <c r="G277" s="117"/>
      <c r="H277" s="117"/>
    </row>
    <row r="278" spans="1:8" x14ac:dyDescent="0.3">
      <c r="A278" s="117" t="s">
        <v>405</v>
      </c>
      <c r="B278" s="117"/>
      <c r="C278" s="117"/>
      <c r="D278" s="117"/>
      <c r="E278" s="117"/>
      <c r="F278" s="117"/>
      <c r="G278" s="117"/>
      <c r="H278" s="117"/>
    </row>
    <row r="279" spans="1:8" x14ac:dyDescent="0.3">
      <c r="A279" s="117" t="s">
        <v>214</v>
      </c>
      <c r="B279" s="117"/>
      <c r="C279" s="117"/>
      <c r="D279" s="117"/>
      <c r="E279" s="117"/>
      <c r="F279" s="117"/>
      <c r="G279" s="117"/>
      <c r="H279" s="117"/>
    </row>
    <row r="280" spans="1:8" x14ac:dyDescent="0.3">
      <c r="A280" s="117" t="s">
        <v>406</v>
      </c>
      <c r="B280" s="117"/>
      <c r="C280" s="117"/>
      <c r="D280" s="117"/>
      <c r="E280" s="117"/>
      <c r="F280" s="117"/>
      <c r="G280" s="117"/>
      <c r="H280" s="117"/>
    </row>
    <row r="281" spans="1:8" x14ac:dyDescent="0.3">
      <c r="A281" s="117" t="s">
        <v>403</v>
      </c>
      <c r="B281" s="117"/>
      <c r="C281" s="117"/>
      <c r="D281" s="117"/>
      <c r="E281" s="117"/>
      <c r="F281" s="117"/>
      <c r="G281" s="117"/>
      <c r="H281" s="117"/>
    </row>
    <row r="282" spans="1:8" x14ac:dyDescent="0.3">
      <c r="A282" s="117" t="s">
        <v>273</v>
      </c>
      <c r="B282" s="117"/>
      <c r="C282" s="117"/>
      <c r="D282" s="117"/>
      <c r="E282" s="117"/>
      <c r="F282" s="117"/>
      <c r="G282" s="117"/>
      <c r="H282" s="117"/>
    </row>
    <row r="283" spans="1:8" x14ac:dyDescent="0.3">
      <c r="A283" s="117" t="s">
        <v>404</v>
      </c>
      <c r="B283" s="117"/>
      <c r="C283" s="117"/>
      <c r="D283" s="117"/>
      <c r="E283" s="117"/>
      <c r="F283" s="117"/>
      <c r="G283" s="117"/>
      <c r="H283" s="117"/>
    </row>
    <row r="284" spans="1:8" x14ac:dyDescent="0.3">
      <c r="A284" s="117" t="s">
        <v>243</v>
      </c>
      <c r="B284" s="117"/>
      <c r="C284" s="117"/>
      <c r="D284" s="117"/>
      <c r="E284" s="117"/>
      <c r="F284" s="117"/>
      <c r="G284" s="117"/>
      <c r="H284" s="117"/>
    </row>
    <row r="285" spans="1:8" x14ac:dyDescent="0.3">
      <c r="A285" s="117" t="s">
        <v>407</v>
      </c>
      <c r="B285" s="117"/>
      <c r="C285" s="117"/>
      <c r="D285" s="117"/>
      <c r="E285" s="117"/>
      <c r="F285" s="117"/>
      <c r="G285" s="117"/>
      <c r="H285" s="117"/>
    </row>
    <row r="286" spans="1:8" x14ac:dyDescent="0.3">
      <c r="A286" s="117" t="s">
        <v>408</v>
      </c>
      <c r="B286" s="117"/>
      <c r="C286" s="117"/>
      <c r="D286" s="117"/>
      <c r="E286" s="117"/>
      <c r="F286" s="117"/>
      <c r="G286" s="117"/>
      <c r="H286" s="117"/>
    </row>
    <row r="287" spans="1:8" x14ac:dyDescent="0.3">
      <c r="A287" s="117" t="s">
        <v>409</v>
      </c>
      <c r="B287" s="117"/>
      <c r="C287" s="117"/>
      <c r="D287" s="117"/>
      <c r="E287" s="117"/>
      <c r="F287" s="117"/>
      <c r="G287" s="117"/>
      <c r="H287" s="117"/>
    </row>
    <row r="288" spans="1:8" x14ac:dyDescent="0.3">
      <c r="A288" s="117" t="s">
        <v>243</v>
      </c>
      <c r="B288" s="117"/>
      <c r="C288" s="117"/>
      <c r="D288" s="117"/>
      <c r="E288" s="117"/>
      <c r="F288" s="117"/>
      <c r="G288" s="117"/>
      <c r="H288" s="117"/>
    </row>
    <row r="289" spans="1:8" x14ac:dyDescent="0.3">
      <c r="A289" s="117" t="s">
        <v>410</v>
      </c>
      <c r="B289" s="117"/>
      <c r="C289" s="117"/>
      <c r="D289" s="117"/>
      <c r="E289" s="117"/>
      <c r="F289" s="117"/>
      <c r="G289" s="117"/>
      <c r="H289" s="117"/>
    </row>
    <row r="290" spans="1:8" x14ac:dyDescent="0.3">
      <c r="A290" s="117" t="s">
        <v>322</v>
      </c>
      <c r="B290" s="117"/>
      <c r="C290" s="117"/>
      <c r="D290" s="117"/>
      <c r="E290" s="117"/>
      <c r="F290" s="117"/>
      <c r="G290" s="117"/>
      <c r="H290" s="117"/>
    </row>
    <row r="291" spans="1:8" x14ac:dyDescent="0.3">
      <c r="A291" s="117" t="s">
        <v>212</v>
      </c>
      <c r="B291" s="117"/>
      <c r="C291" s="117"/>
      <c r="D291" s="117"/>
      <c r="E291" s="117"/>
      <c r="F291" s="117"/>
      <c r="G291" s="117"/>
      <c r="H291" s="117"/>
    </row>
  </sheetData>
  <mergeCells count="289">
    <mergeCell ref="A1:H1"/>
    <mergeCell ref="A3:H3"/>
    <mergeCell ref="A4:H4"/>
    <mergeCell ref="A5:H5"/>
    <mergeCell ref="A6:H6"/>
    <mergeCell ref="A7:H7"/>
    <mergeCell ref="A8:H8"/>
    <mergeCell ref="A9:H9"/>
    <mergeCell ref="A10:H10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Planner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2026-06-19T13:12:49Z</dcterms:modified>
  <dc:language>en-US</dc:language>
</cp:coreProperties>
</file>