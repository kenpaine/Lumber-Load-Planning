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219CA545-8196-418D-937A-A27EDF7C6873}" xr6:coauthVersionLast="47" xr6:coauthVersionMax="47" xr10:uidLastSave="{00000000-0000-0000-0000-000000000000}"/>
  <bookViews>
    <workbookView xWindow="2748" yWindow="4908" windowWidth="18216" windowHeight="17880" tabRatio="500" xr2:uid="{00000000-000D-0000-FFFF-FFFF00000000}"/>
  </bookViews>
  <sheets>
    <sheet name="Planner" sheetId="1" r:id="rId1"/>
    <sheet name="Manifest" sheetId="2" r:id="rId2"/>
    <sheet name="How to Use" sheetId="5" r:id="rId3"/>
    <sheet name="Pattern Library" sheetId="3" r:id="rId4"/>
    <sheet name="Auto-Solve (VBA)" sheetId="4" r:id="rId5"/>
  </sheets>
  <functionGroups builtInGroupCount="19"/>
  <definedNames>
    <definedName name="_xlnm.Print_Area" localSheetId="1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54" i="2" l="1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<sst xmlns="http://schemas.openxmlformats.org/spreadsheetml/2006/main" count="695" uniqueCount="497">
  <si>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</si>
  <si>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</si>
  <si>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</si>
  <si>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</si>
  <si>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</si>
  <si>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</si>
  <si>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</si>
  <si>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</si>
  <si>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</si>
  <si>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</si>
  <si>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</si>
  <si>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</si>
  <si>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</si>
  <si>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</si>
  <si>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</si>
  <si>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</si>
  <si>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</si>
  <si>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</si>
  <si>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</si>
  <si>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</si>
  <si>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</si>
  <si>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</si>
  <si>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</si>
  <si>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</si>
  <si>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</si>
  <si>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</si>
  <si>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</si>
  <si>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</si>
  <si>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</si>
  <si>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</si>
  <si>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</si>
  <si>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</si>
  <si>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</si>
  <si>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</si>
  <si>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</si>
  <si>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</si>
  <si>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</si>
  <si>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</si>
  <si>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</si>
  <si>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</si>
  <si>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</si>
  <si>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</si>
  <si>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</si>
  <si>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</si>
  <si>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</si>
  <si>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</si>
  <si>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</si>
  <si>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</si>
  <si>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</si>
  <si>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</si>
  <si>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</si>
  <si>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</si>
  <si>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</si>
  <si>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</si>
  <si>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</si>
  <si>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</si>
  <si>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</si>
  <si>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</si>
  <si>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</si>
  <si>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</si>
  <si>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</si>
  <si>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</si>
  <si>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</si>
  <si>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</si>
  <si>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</si>
  <si>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</si>
  <si>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</si>
  <si>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</si>
  <si>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</si>
  <si>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</si>
  <si>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</si>
  <si>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</si>
  <si>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</si>
  <si>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</si>
  <si>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</si>
  <si>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</si>
  <si>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</si>
  <si>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</si>
  <si>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</si>
  <si>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</si>
  <si>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</si>
  <si>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</si>
  <si>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</si>
  <si>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</si>
  <si>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</si>
  <si>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</si>
  <si>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</si>
  <si>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</si>
  <si>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</si>
  <si>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</si>
  <si>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</si>
  <si>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</si>
  <si>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</si>
  <si>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</si>
  <si>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</si>
  <si>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</si>
  <si>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</si>
  <si>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</si>
  <si>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</si>
  <si>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</si>
  <si>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</si>
  <si>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</si>
  <si>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</si>
  <si>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</si>
  <si>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</si>
  <si>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</si>
  <si>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</si>
  <si>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</si>
  <si>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</si>
  <si>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</si>
  <si>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</si>
  <si>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</si>
  <si>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</si>
  <si>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</si>
  <si>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</si>
  <si>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</si>
  <si>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</si>
  <si>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</si>
  <si>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</si>
  <si>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</si>
  <si>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</si>
  <si>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</si>
  <si>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</si>
  <si>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</si>
  <si>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</si>
  <si>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</si>
  <si>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</si>
  <si>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</si>
  <si>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</si>
  <si>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</si>
  <si>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</si>
  <si>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</si>
  <si>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</si>
  <si>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</si>
  <si>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</si>
  <si>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</si>
  <si>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</si>
  <si>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</si>
  <si>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</si>
  <si>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</si>
  <si>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</si>
  <si>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</si>
  <si>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</si>
  <si>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</si>
  <si>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</si>
  <si>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</si>
  <si>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</si>
  <si>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</si>
  <si>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</si>
  <si>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</si>
  <si>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</si>
  <si>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</si>
  <si>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</si>
  <si>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</si>
  <si>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</si>
  <si>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</si>
  <si>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</si>
  <si>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</si>
  <si>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</si>
  <si>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</si>
  <si>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</si>
  <si>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</si>
  <si>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</si>
  <si>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</si>
  <si>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</si>
  <si>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</si>
  <si>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</si>
  <si>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</si>
  <si>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</si>
  <si>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</si>
  <si>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</si>
  <si>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</si>
  <si>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</si>
  <si>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</si>
  <si>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</si>
  <si>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</si>
  <si>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</si>
  <si>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</si>
  <si>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</si>
  <si>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</si>
  <si>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</si>
  <si>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</si>
  <si>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</si>
  <si>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</si>
  <si>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</si>
  <si>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</si>
  <si>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</si>
  <si>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</si>
  <si>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</si>
  <si>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</si>
  <si>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</si>
  <si>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</si>
  <si>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</si>
  <si>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</si>
  <si>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</si>
  <si>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</si>
  <si>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</si>
  <si>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</si>
  <si>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</si>
  <si>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</si>
  <si>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</si>
  <si>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</si>
  <si>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</si>
  <si>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</si>
  <si>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</si>
  <si>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</si>
  <si>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</si>
  <si>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</si>
  <si>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</si>
  <si>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</si>
  <si>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</si>
  <si>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</si>
  <si>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</si>
  <si>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</si>
  <si>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</si>
  <si>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</si>
  <si>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</si>
  <si>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</si>
  <si>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</si>
  <si>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</si>
  <si>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</si>
  <si>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</si>
  <si>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</si>
  <si>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</si>
  <si>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</si>
  <si>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</si>
  <si>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</si>
  <si>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</si>
  <si>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</si>
  <si>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</si>
  <si>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</si>
  <si>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</si>
  <si>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</si>
  <si>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</si>
  <si>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</si>
  <si>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</si>
  <si>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</si>
  <si>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</si>
  <si>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</si>
  <si>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</si>
  <si>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</si>
  <si>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</si>
  <si>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</si>
  <si>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</si>
  <si>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</si>
  <si>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</si>
  <si>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</si>
  <si>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</si>
  <si>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</si>
  <si>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</si>
  <si>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</si>
  <si>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</si>
  <si>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</si>
  <si>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</si>
  <si>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</si>
  <si>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</si>
  <si>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</si>
  <si>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</si>
  <si>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</si>
  <si>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</si>
  <si>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</si>
  <si>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</si>
  <si>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</si>
  <si>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</si>
  <si>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</si>
  <si>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</si>
  <si>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</si>
  <si>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</si>
  <si>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</si>
  <si>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</si>
  <si>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</si>
  <si>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</si>
  <si>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</si>
  <si>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</si>
  <si>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</si>
  <si>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</si>
  <si>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</si>
  <si>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</si>
  <si>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</si>
  <si>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</si>
  <si>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</si>
  <si>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</si>
  <si>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</si>
  <si>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</si>
  <si>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</si>
  <si>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</si>
  <si>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</si>
  <si>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</si>
  <si>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</si>
  <si>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</si>
  <si>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</si>
  <si>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</si>
  <si>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</si>
  <si>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</si>
  <si>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</si>
  <si>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</si>
  <si>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</si>
  <si>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</si>
  <si>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</si>
  <si>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</si>
  <si>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</si>
  <si>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</si>
  <si>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</si>
  <si>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</si>
  <si>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</si>
  <si>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</si>
  <si>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</si>
  <si>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</si>
  <si>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</si>
  <si>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</si>
  <si>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</si>
  <si>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</si>
  <si>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</si>
  <si>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</si>
  <si>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</si>
  <si>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</si>
  <si>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</si>
  <si>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</si>
  <si>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</si>
  <si>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</si>
  <si>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</si>
  <si>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</si>
  <si>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</si>
  <si>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</si>
  <si>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</si>
  <si>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</si>
  <si>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</si>
  <si>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</si>
  <si>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</si>
  <si>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</si>
  <si>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</si>
  <si>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</si>
  <si>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</si>
  <si>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</si>
  <si>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</si>
  <si>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</si>
  <si>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</si>
  <si>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</si>
  <si>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</si>
  <si>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</si>
  <si>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</si>
  <si>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</si>
  <si>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</si>
  <si>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</si>
  <si>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</si>
  <si>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</si>
  <si>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</si>
  <si>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</si>
  <si>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</si>
  <si>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</si>
  <si>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</si>
  <si>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</si>
  <si>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</si>
  <si>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</si>
  <si>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</si>
  <si>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</si>
  <si>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</si>
  <si>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</si>
  <si>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</si>
  <si>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</si>
  <si>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</si>
  <si>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</si>
  <si>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</si>
  <si>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</si>
  <si>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</si>
  <si>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</si>
  <si>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</si>
  <si>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</si>
  <si>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</si>
  <si>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</si>
  <si>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</si>
  <si>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</si>
  <si>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</si>
  <si>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</si>
  <si>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</si>
  <si>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</si>
  <si>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</si>
  <si>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</si>
  <si>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</si>
  <si>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</si>
  <si>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</si>
  <si>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</si>
  <si>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</si>
  <si>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</si>
  <si>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</si>
  <si>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</si>
  <si>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</si>
  <si>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</si>
  <si>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</si>
  <si>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</si>
  <si>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</si>
  <si>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</si>
  <si>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</si>
  <si>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</si>
  <si>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</si>
  <si>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</si>
  <si>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</si>
  <si>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</si>
  <si>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</si>
  <si>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</si>
  <si>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</si>
  <si>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</si>
  <si>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</si>
  <si>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</si>
  <si>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</si>
  <si>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</si>
  <si>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</si>
  <si>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</si>
  <si>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</si>
  <si>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</si>
  <si>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</si>
  <si>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</si>
  <si>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</si>
  <si>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</si>
  <si>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</si>
  <si>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</si>
  <si>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</si>
  <si>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</si>
  <si>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</si>
  <si>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</si>
  <si>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</si>
  <si>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</si>
  <si>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</si>
  <si>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</si>
  <si>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</si>
  <si>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</si>
  <si>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</si>
  <si>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</si>
  <si>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</si>
  <si>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</si>
  <si>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</si>
  <si>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</si>
  <si>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</si>
  <si>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</si>
  <si>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</si>
  <si>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</si>
  <si>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</si>
  <si>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</si>
  <si>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</si>
  <si>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</si>
  <si>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</si>
  <si>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</si>
  <si>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</si>
  <si>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</si>
  <si>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</si>
  <si>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</si>
  <si>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</si>
  <si>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</si>
  <si>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</si>
  <si>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</si>
  <si>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</si>
  <si>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</si>
  <si>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</si>
  <si>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</si>
  <si>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</si>
  <si>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</si>
  <si>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</si>
  <si>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</si>
  <si>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</si>
  <si>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</si>
  <si>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</si>
  <si>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</si>
  <si>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</si>
  <si>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</si>
  <si>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</si>
  <si>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</si>
  <si>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</si>
  <si>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</si>
  <si>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</si>
  <si>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</si>
  <si>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</si>
  <si>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</si>
  <si>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</si>
  <si>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</si>
  <si>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</si>
  <si>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</si>
  <si>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</si>
  <si>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</si>
  <si>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</si>
  <si>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</si>
  <si>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</si>
  <si>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</si>
  <si>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</si>
  <si>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</si>
  <si>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</si>
  <si>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</si>
  <si>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</si>
  <si>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</si>
  <si>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</si>
  <si>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</si>
  <si>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</si>
  <si>
    <t>Palette:</t>
  </si>
  <si>
    <t>Color</t>
  </si>
  <si>
    <t>Car layout:</t>
  </si>
  <si>
    <t>5+5</t>
  </si>
  <si>
    <t>Side</t>
  </si>
  <si>
    <t>© 2026 Ken Paine  ·  all 72 feet reserved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</si>
</sst>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;;;"/>
  </numFmts>
  <fonts count="54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  <font>
      <i/>
      <sz val="8"/>
      <color rgb="FFC8C8C8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  <fill>
      <patternFill patternType="solid">
        <fgColor rgb="FFDFF0E8"/>
        <bgColor indexed="64"/>
      </patternFill>
    </fill>
  </fills>
  <borders count="3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64" fontId="0" fillId="0" borderId="0" xfId="0" applyNumberFormat="1"/>
    <xf numFmtId="0" fontId="15" fillId="0" borderId="0" xfId="0" applyFont="1"/>
    <xf numFmtId="0" fontId="17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3" fillId="0" borderId="0" xfId="0" applyFont="1"/>
    <xf numFmtId="0" fontId="6" fillId="0" borderId="15" xfId="0" applyFont="1" applyBorder="1" applyAlignment="1">
      <alignment horizontal="center" vertical="center"/>
    </xf>
    <xf numFmtId="0" fontId="32" fillId="7" borderId="16" xfId="0" applyFont="1" applyFill="1" applyBorder="1" applyAlignment="1">
      <alignment horizontal="center"/>
    </xf>
    <xf numFmtId="0" fontId="36" fillId="10" borderId="1" xfId="0" applyFont="1" applyFill="1" applyBorder="1" applyAlignment="1">
      <alignment horizontal="center" vertical="center"/>
    </xf>
    <xf numFmtId="0" fontId="37" fillId="0" borderId="0" xfId="0" applyFont="1" applyAlignment="1">
      <alignment vertical="top" wrapText="1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11" borderId="0" xfId="0" applyFont="1" applyFill="1" applyAlignment="1">
      <alignment vertical="top" wrapText="1"/>
    </xf>
    <xf numFmtId="0" fontId="37" fillId="0" borderId="0" xfId="0" applyFont="1" applyAlignment="1">
      <alignment horizontal="left" vertical="top" wrapText="1" indent="1"/>
    </xf>
    <xf numFmtId="0" fontId="41" fillId="0" borderId="0" xfId="0" applyFont="1" applyAlignment="1">
      <alignment vertical="top" wrapText="1"/>
    </xf>
    <xf numFmtId="0" fontId="42" fillId="0" borderId="0" xfId="0" applyFont="1" applyAlignment="1">
      <alignment horizontal="left" vertical="top" wrapText="1" indent="1"/>
    </xf>
    <xf numFmtId="0" fontId="43" fillId="12" borderId="1" xfId="0" applyFont="1" applyFill="1" applyBorder="1" applyAlignment="1">
      <alignment horizontal="center" vertical="center"/>
    </xf>
    <xf numFmtId="0" fontId="43" fillId="13" borderId="1" xfId="0" applyFont="1" applyFill="1" applyBorder="1" applyAlignment="1">
      <alignment horizontal="center" vertical="center"/>
    </xf>
    <xf numFmtId="0" fontId="43" fillId="14" borderId="1" xfId="0" applyFont="1" applyFill="1" applyBorder="1" applyAlignment="1">
      <alignment horizontal="center" vertical="center"/>
    </xf>
    <xf numFmtId="0" fontId="43" fillId="15" borderId="1" xfId="0" applyFont="1" applyFill="1" applyBorder="1" applyAlignment="1">
      <alignment horizontal="center" vertical="center"/>
    </xf>
    <xf numFmtId="0" fontId="43" fillId="16" borderId="1" xfId="0" applyFont="1" applyFill="1" applyBorder="1" applyAlignment="1">
      <alignment horizontal="center" vertical="center"/>
    </xf>
    <xf numFmtId="0" fontId="43" fillId="17" borderId="1" xfId="0" applyFont="1" applyFill="1" applyBorder="1" applyAlignment="1">
      <alignment horizontal="center" vertical="center"/>
    </xf>
    <xf numFmtId="0" fontId="43" fillId="18" borderId="1" xfId="0" applyFont="1" applyFill="1" applyBorder="1" applyAlignment="1">
      <alignment horizontal="center" vertical="center"/>
    </xf>
    <xf numFmtId="0" fontId="44" fillId="5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6" fillId="22" borderId="1" xfId="0" applyFont="1" applyFill="1" applyBorder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16" fillId="24" borderId="1" xfId="0" applyFont="1" applyFill="1" applyBorder="1" applyAlignment="1">
      <alignment horizontal="center" vertical="center"/>
    </xf>
    <xf numFmtId="0" fontId="16" fillId="25" borderId="1" xfId="0" applyFont="1" applyFill="1" applyBorder="1" applyAlignment="1">
      <alignment horizontal="center" vertical="center"/>
    </xf>
    <xf numFmtId="0" fontId="50" fillId="14" borderId="1" xfId="0" applyFont="1" applyFill="1" applyBorder="1" applyAlignment="1">
      <alignment horizontal="center" vertical="center"/>
    </xf>
    <xf numFmtId="0" fontId="50" fillId="18" borderId="1" xfId="0" applyFont="1" applyFill="1" applyBorder="1" applyAlignment="1">
      <alignment horizontal="center" vertical="center"/>
    </xf>
    <xf numFmtId="0" fontId="50" fillId="15" borderId="1" xfId="0" applyFont="1" applyFill="1" applyBorder="1" applyAlignment="1">
      <alignment horizontal="center" vertical="center"/>
    </xf>
    <xf numFmtId="0" fontId="50" fillId="17" borderId="1" xfId="0" applyFont="1" applyFill="1" applyBorder="1" applyAlignment="1">
      <alignment horizontal="center" vertical="center"/>
    </xf>
    <xf numFmtId="0" fontId="50" fillId="16" borderId="1" xfId="0" applyFont="1" applyFill="1" applyBorder="1" applyAlignment="1">
      <alignment horizontal="center" vertical="center"/>
    </xf>
    <xf numFmtId="0" fontId="50" fillId="12" borderId="1" xfId="0" applyFont="1" applyFill="1" applyBorder="1" applyAlignment="1">
      <alignment horizontal="center" vertical="center"/>
    </xf>
    <xf numFmtId="0" fontId="50" fillId="13" borderId="1" xfId="0" applyFont="1" applyFill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44" fillId="26" borderId="1" xfId="0" applyFont="1" applyFill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51" fillId="12" borderId="1" xfId="0" applyFont="1" applyFill="1" applyBorder="1" applyAlignment="1">
      <alignment horizontal="center" vertical="center"/>
    </xf>
    <xf numFmtId="0" fontId="51" fillId="13" borderId="1" xfId="0" applyFont="1" applyFill="1" applyBorder="1" applyAlignment="1">
      <alignment horizontal="center" vertical="center"/>
    </xf>
    <xf numFmtId="0" fontId="51" fillId="14" borderId="1" xfId="0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0" fontId="51" fillId="17" borderId="1" xfId="0" applyFont="1" applyFill="1" applyBorder="1" applyAlignment="1">
      <alignment horizontal="center" vertical="center"/>
    </xf>
    <xf numFmtId="0" fontId="51" fillId="18" borderId="1" xfId="0" applyFont="1" applyFill="1" applyBorder="1" applyAlignment="1">
      <alignment horizontal="center" vertical="center"/>
    </xf>
    <xf numFmtId="0" fontId="32" fillId="27" borderId="0" xfId="0" applyFont="1" applyFill="1"/>
    <xf numFmtId="0" fontId="52" fillId="4" borderId="1" xfId="0" applyFont="1" applyFill="1" applyBorder="1" applyAlignment="1">
      <alignment horizontal="center" vertical="center"/>
    </xf>
    <xf numFmtId="0" fontId="53" fillId="0" borderId="0" xfId="0" applyFont="1" applyAlignment="1">
      <alignment horizontal="right"/>
    </xf>
    <xf numFmtId="0" fontId="1" fillId="0" borderId="0" xfId="0" applyFont="1" applyAlignment="1">
      <alignment horizontal="left" vertical="center"/>
    </xf>
    <xf numFmtId="0" fontId="2" fillId="0" borderId="0" xfId="0" applyFont="1"/>
    <xf numFmtId="0" fontId="3" fillId="2" borderId="0" xfId="0" applyFont="1" applyFill="1"/>
    <xf numFmtId="0" fontId="34" fillId="8" borderId="18" xfId="0" applyFont="1" applyFill="1" applyBorder="1" applyAlignment="1">
      <alignment horizontal="center"/>
    </xf>
    <xf numFmtId="0" fontId="34" fillId="8" borderId="19" xfId="0" applyFont="1" applyFill="1" applyBorder="1" applyAlignment="1">
      <alignment horizontal="center"/>
    </xf>
    <xf numFmtId="0" fontId="34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2" fillId="9" borderId="0" xfId="0" applyFont="1" applyFill="1" applyAlignment="1">
      <alignment horizontal="center"/>
    </xf>
    <xf numFmtId="0" fontId="32" fillId="9" borderId="23" xfId="0" applyFont="1" applyFill="1" applyBorder="1" applyAlignment="1">
      <alignment horizontal="center"/>
    </xf>
    <xf numFmtId="0" fontId="35" fillId="0" borderId="20" xfId="0" applyFont="1" applyBorder="1"/>
    <xf numFmtId="0" fontId="35" fillId="0" borderId="21" xfId="0" applyFont="1" applyBorder="1"/>
    <xf numFmtId="0" fontId="35" fillId="0" borderId="24" xfId="0" applyFont="1" applyBorder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4" fillId="0" borderId="1" xfId="0" applyFont="1" applyBorder="1" applyAlignment="1">
      <alignment horizontal="center" vertical="center"/>
    </xf>
    <xf numFmtId="0" fontId="1" fillId="0" borderId="0" xfId="0" applyFont="1"/>
    <xf numFmtId="0" fontId="29" fillId="0" borderId="0" xfId="0" applyFont="1"/>
    <xf numFmtId="0" fontId="30" fillId="0" borderId="0" xfId="0" applyFont="1"/>
    <xf numFmtId="0" fontId="31" fillId="6" borderId="0" xfId="0" applyFont="1" applyFill="1"/>
    <xf numFmtId="165" fontId="0" fillId="0" borderId="0" xfId="0" applyNumberFormat="1"/>
  </cellXfs>
  <cellStyles count="1">
    <cellStyle name="Normal" xfId="0" builtinId="0"/>
  </cellStyles>
  <dxfs count="29">
    <dxf>
      <fill>
        <patternFill>
          <bgColor rgb="FFBDD7EE"/>
        </patternFill>
      </fill>
    </dxf>
    <dxf>
      <fill>
        <patternFill>
          <bgColor rgb="FFFFE599"/>
        </patternFill>
      </fill>
    </dxf>
    <dxf>
      <fill>
        <patternFill>
          <bgColor rgb="FFC6EFCE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497840</xdr:colOff>
      <xdr:row>13</xdr:row>
      <xdr:rowOff>96520</xdr:rowOff>
    </xdr:to>
    <xdr:sp macro="RedrawManifestButton" textlink="">
      <xdr:nvSpPr>
        <xdr:cNvPr id="3" name="btn_redraw">
          <a:extLst>
            <a:ext uri="{FF2B5EF4-FFF2-40B4-BE49-F238E27FC236}">
              <a16:creationId xmlns:a16="http://schemas.microsoft.com/office/drawing/2014/main" id="{2528D9FE-56FE-29A0-E129-BEA833EE5CD7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19050</xdr:rowOff>
    </xdr:from>
    <xdr:to>
      <xdr:col>11</xdr:col>
      <xdr:colOff>727075</xdr:colOff>
      <xdr:row>13</xdr:row>
      <xdr:rowOff>196850</xdr:rowOff>
    </xdr:to>
    <xdr:sp macro="" textlink="">
      <xdr:nvSpPr>
        <xdr:cNvPr id="2" name="diag_1">
          <a:extLst>
            <a:ext uri="{FF2B5EF4-FFF2-40B4-BE49-F238E27FC236}">
              <a16:creationId xmlns:a16="http://schemas.microsoft.com/office/drawing/2014/main" id="{1547FA03-AB4F-5095-6219-308E466B0AC7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5 rows  (tiers 1-5)</a:t>
          </a:r>
        </a:p>
      </xdr:txBody>
    </xdr:sp>
    <xdr:clientData/>
  </xdr:twoCellAnchor>
  <xdr:twoCellAnchor>
    <xdr:from>
      <xdr:col>0</xdr:col>
      <xdr:colOff>190500</xdr:colOff>
      <xdr:row>13</xdr:row>
      <xdr:rowOff>196850</xdr:rowOff>
    </xdr:from>
    <xdr:to>
      <xdr:col>0</xdr:col>
      <xdr:colOff>520700</xdr:colOff>
      <xdr:row>14</xdr:row>
      <xdr:rowOff>98425</xdr:rowOff>
    </xdr:to>
    <xdr:sp macro="" textlink="">
      <xdr:nvSpPr>
        <xdr:cNvPr id="1361" name="diag_2">
          <a:extLst>
            <a:ext uri="{FF2B5EF4-FFF2-40B4-BE49-F238E27FC236}">
              <a16:creationId xmlns:a16="http://schemas.microsoft.com/office/drawing/2014/main" id="{6F89FBE5-AF91-0566-E38F-5F49F7D7696A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196850</xdr:rowOff>
    </xdr:from>
    <xdr:to>
      <xdr:col>2</xdr:col>
      <xdr:colOff>546100</xdr:colOff>
      <xdr:row>14</xdr:row>
      <xdr:rowOff>98425</xdr:rowOff>
    </xdr:to>
    <xdr:sp macro="" textlink="">
      <xdr:nvSpPr>
        <xdr:cNvPr id="1362" name="diag_3">
          <a:extLst>
            <a:ext uri="{FF2B5EF4-FFF2-40B4-BE49-F238E27FC236}">
              <a16:creationId xmlns:a16="http://schemas.microsoft.com/office/drawing/2014/main" id="{0DF8F99B-6033-F331-ADFF-ADA9D5655180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107950</xdr:colOff>
      <xdr:row>13</xdr:row>
      <xdr:rowOff>196850</xdr:rowOff>
    </xdr:from>
    <xdr:to>
      <xdr:col>4</xdr:col>
      <xdr:colOff>438150</xdr:colOff>
      <xdr:row>14</xdr:row>
      <xdr:rowOff>98425</xdr:rowOff>
    </xdr:to>
    <xdr:sp macro="" textlink="">
      <xdr:nvSpPr>
        <xdr:cNvPr id="1363" name="diag_4">
          <a:extLst>
            <a:ext uri="{FF2B5EF4-FFF2-40B4-BE49-F238E27FC236}">
              <a16:creationId xmlns:a16="http://schemas.microsoft.com/office/drawing/2014/main" id="{373CA60E-85BF-9C5B-3021-C2B5CE2953A4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196850</xdr:rowOff>
    </xdr:from>
    <xdr:to>
      <xdr:col>6</xdr:col>
      <xdr:colOff>187325</xdr:colOff>
      <xdr:row>14</xdr:row>
      <xdr:rowOff>98425</xdr:rowOff>
    </xdr:to>
    <xdr:sp macro="" textlink="">
      <xdr:nvSpPr>
        <xdr:cNvPr id="1364" name="diag_5">
          <a:extLst>
            <a:ext uri="{FF2B5EF4-FFF2-40B4-BE49-F238E27FC236}">
              <a16:creationId xmlns:a16="http://schemas.microsoft.com/office/drawing/2014/main" id="{63637393-9806-921E-447B-ABFC84F209AF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501650</xdr:colOff>
      <xdr:row>13</xdr:row>
      <xdr:rowOff>196850</xdr:rowOff>
    </xdr:from>
    <xdr:to>
      <xdr:col>8</xdr:col>
      <xdr:colOff>79375</xdr:colOff>
      <xdr:row>14</xdr:row>
      <xdr:rowOff>98425</xdr:rowOff>
    </xdr:to>
    <xdr:sp macro="" textlink="">
      <xdr:nvSpPr>
        <xdr:cNvPr id="1365" name="diag_6">
          <a:extLst>
            <a:ext uri="{FF2B5EF4-FFF2-40B4-BE49-F238E27FC236}">
              <a16:creationId xmlns:a16="http://schemas.microsoft.com/office/drawing/2014/main" id="{DC2E5143-F5B2-8577-8FE6-9CC6F7C4F50A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393700</xdr:colOff>
      <xdr:row>13</xdr:row>
      <xdr:rowOff>196850</xdr:rowOff>
    </xdr:from>
    <xdr:to>
      <xdr:col>9</xdr:col>
      <xdr:colOff>723900</xdr:colOff>
      <xdr:row>14</xdr:row>
      <xdr:rowOff>98425</xdr:rowOff>
    </xdr:to>
    <xdr:sp macro="" textlink="">
      <xdr:nvSpPr>
        <xdr:cNvPr id="1366" name="diag_7">
          <a:extLst>
            <a:ext uri="{FF2B5EF4-FFF2-40B4-BE49-F238E27FC236}">
              <a16:creationId xmlns:a16="http://schemas.microsoft.com/office/drawing/2014/main" id="{731C58EC-1F95-40D7-210B-0316A6025032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561975</xdr:colOff>
      <xdr:row>13</xdr:row>
      <xdr:rowOff>196850</xdr:rowOff>
    </xdr:from>
    <xdr:to>
      <xdr:col>11</xdr:col>
      <xdr:colOff>892175</xdr:colOff>
      <xdr:row>14</xdr:row>
      <xdr:rowOff>98425</xdr:rowOff>
    </xdr:to>
    <xdr:sp macro="" textlink="">
      <xdr:nvSpPr>
        <xdr:cNvPr id="1367" name="diag_8">
          <a:extLst>
            <a:ext uri="{FF2B5EF4-FFF2-40B4-BE49-F238E27FC236}">
              <a16:creationId xmlns:a16="http://schemas.microsoft.com/office/drawing/2014/main" id="{DEF52D7C-741C-62FA-D8F2-DB53BAC5D2B6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98425</xdr:rowOff>
    </xdr:from>
    <xdr:to>
      <xdr:col>0</xdr:col>
      <xdr:colOff>355600</xdr:colOff>
      <xdr:row>15</xdr:row>
      <xdr:rowOff>139192</xdr:rowOff>
    </xdr:to>
    <xdr:sp macro="" textlink="">
      <xdr:nvSpPr>
        <xdr:cNvPr id="1368" name="diag_9">
          <a:extLst>
            <a:ext uri="{FF2B5EF4-FFF2-40B4-BE49-F238E27FC236}">
              <a16:creationId xmlns:a16="http://schemas.microsoft.com/office/drawing/2014/main" id="{86CD67F6-7E2F-E418-DB40-CABABEC8D546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98425</xdr:rowOff>
    </xdr:from>
    <xdr:to>
      <xdr:col>11</xdr:col>
      <xdr:colOff>727075</xdr:colOff>
      <xdr:row>15</xdr:row>
      <xdr:rowOff>139192</xdr:rowOff>
    </xdr:to>
    <xdr:sp macro="" textlink="">
      <xdr:nvSpPr>
        <xdr:cNvPr id="1369" name="diag_10">
          <a:extLst>
            <a:ext uri="{FF2B5EF4-FFF2-40B4-BE49-F238E27FC236}">
              <a16:creationId xmlns:a16="http://schemas.microsoft.com/office/drawing/2014/main" id="{74717BF3-F416-9868-BD71-A642E4C4627F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98425</xdr:rowOff>
    </xdr:from>
    <xdr:to>
      <xdr:col>3</xdr:col>
      <xdr:colOff>94192</xdr:colOff>
      <xdr:row>15</xdr:row>
      <xdr:rowOff>139192</xdr:rowOff>
    </xdr:to>
    <xdr:sp macro="" textlink="">
      <xdr:nvSpPr>
        <xdr:cNvPr id="1370" name="diag_11">
          <a:extLst>
            <a:ext uri="{FF2B5EF4-FFF2-40B4-BE49-F238E27FC236}">
              <a16:creationId xmlns:a16="http://schemas.microsoft.com/office/drawing/2014/main" id="{81C7A5AD-F86C-7473-5C99-721E5CD708A2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14</xdr:row>
      <xdr:rowOff>98425</xdr:rowOff>
    </xdr:from>
    <xdr:to>
      <xdr:col>5</xdr:col>
      <xdr:colOff>309033</xdr:colOff>
      <xdr:row>15</xdr:row>
      <xdr:rowOff>139192</xdr:rowOff>
    </xdr:to>
    <xdr:sp macro="" textlink="">
      <xdr:nvSpPr>
        <xdr:cNvPr id="1371" name="diag_12">
          <a:extLst>
            <a:ext uri="{FF2B5EF4-FFF2-40B4-BE49-F238E27FC236}">
              <a16:creationId xmlns:a16="http://schemas.microsoft.com/office/drawing/2014/main" id="{9A9675E6-330A-29F4-3D36-52EB62BD21C3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98425</xdr:rowOff>
    </xdr:from>
    <xdr:to>
      <xdr:col>7</xdr:col>
      <xdr:colOff>666750</xdr:colOff>
      <xdr:row>15</xdr:row>
      <xdr:rowOff>139192</xdr:rowOff>
    </xdr:to>
    <xdr:sp macro="" textlink="">
      <xdr:nvSpPr>
        <xdr:cNvPr id="1372" name="diag_13">
          <a:extLst>
            <a:ext uri="{FF2B5EF4-FFF2-40B4-BE49-F238E27FC236}">
              <a16:creationId xmlns:a16="http://schemas.microsoft.com/office/drawing/2014/main" id="{6530F6A6-E506-7317-DD00-00086FEE9AFA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14</xdr:row>
      <xdr:rowOff>98425</xdr:rowOff>
    </xdr:from>
    <xdr:to>
      <xdr:col>10</xdr:col>
      <xdr:colOff>271992</xdr:colOff>
      <xdr:row>15</xdr:row>
      <xdr:rowOff>139192</xdr:rowOff>
    </xdr:to>
    <xdr:sp macro="" textlink="">
      <xdr:nvSpPr>
        <xdr:cNvPr id="1373" name="diag_14">
          <a:extLst>
            <a:ext uri="{FF2B5EF4-FFF2-40B4-BE49-F238E27FC236}">
              <a16:creationId xmlns:a16="http://schemas.microsoft.com/office/drawing/2014/main" id="{97B23AF9-DD38-B03E-4BCF-A17D2E5271BF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14</xdr:row>
      <xdr:rowOff>98425</xdr:rowOff>
    </xdr:from>
    <xdr:to>
      <xdr:col>11</xdr:col>
      <xdr:colOff>727075</xdr:colOff>
      <xdr:row>15</xdr:row>
      <xdr:rowOff>139192</xdr:rowOff>
    </xdr:to>
    <xdr:sp macro="" textlink="">
      <xdr:nvSpPr>
        <xdr:cNvPr id="1374" name="diag_15">
          <a:extLst>
            <a:ext uri="{FF2B5EF4-FFF2-40B4-BE49-F238E27FC236}">
              <a16:creationId xmlns:a16="http://schemas.microsoft.com/office/drawing/2014/main" id="{60F8605C-B939-1E9A-D488-9C98D5F88B56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164592</xdr:rowOff>
    </xdr:from>
    <xdr:to>
      <xdr:col>0</xdr:col>
      <xdr:colOff>355600</xdr:colOff>
      <xdr:row>16</xdr:row>
      <xdr:rowOff>205359</xdr:rowOff>
    </xdr:to>
    <xdr:sp macro="" textlink="">
      <xdr:nvSpPr>
        <xdr:cNvPr id="1375" name="diag_16">
          <a:extLst>
            <a:ext uri="{FF2B5EF4-FFF2-40B4-BE49-F238E27FC236}">
              <a16:creationId xmlns:a16="http://schemas.microsoft.com/office/drawing/2014/main" id="{AB02CF04-DD23-0643-5A5D-8ABB1CCB8AAE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164592</xdr:rowOff>
    </xdr:from>
    <xdr:to>
      <xdr:col>11</xdr:col>
      <xdr:colOff>727075</xdr:colOff>
      <xdr:row>16</xdr:row>
      <xdr:rowOff>205359</xdr:rowOff>
    </xdr:to>
    <xdr:sp macro="" textlink="">
      <xdr:nvSpPr>
        <xdr:cNvPr id="1472" name="diag_17">
          <a:extLst>
            <a:ext uri="{FF2B5EF4-FFF2-40B4-BE49-F238E27FC236}">
              <a16:creationId xmlns:a16="http://schemas.microsoft.com/office/drawing/2014/main" id="{0EB89A1E-3037-1CF1-844F-0463CD7281A3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164592</xdr:rowOff>
    </xdr:from>
    <xdr:to>
      <xdr:col>3</xdr:col>
      <xdr:colOff>94192</xdr:colOff>
      <xdr:row>16</xdr:row>
      <xdr:rowOff>205359</xdr:rowOff>
    </xdr:to>
    <xdr:sp macro="" textlink="">
      <xdr:nvSpPr>
        <xdr:cNvPr id="1473" name="diag_18">
          <a:extLst>
            <a:ext uri="{FF2B5EF4-FFF2-40B4-BE49-F238E27FC236}">
              <a16:creationId xmlns:a16="http://schemas.microsoft.com/office/drawing/2014/main" id="{7B14A1BD-01C3-A80D-6FC8-E137FBF44528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15</xdr:row>
      <xdr:rowOff>164592</xdr:rowOff>
    </xdr:from>
    <xdr:to>
      <xdr:col>5</xdr:col>
      <xdr:colOff>309033</xdr:colOff>
      <xdr:row>16</xdr:row>
      <xdr:rowOff>205359</xdr:rowOff>
    </xdr:to>
    <xdr:sp macro="" textlink="">
      <xdr:nvSpPr>
        <xdr:cNvPr id="1474" name="diag_19">
          <a:extLst>
            <a:ext uri="{FF2B5EF4-FFF2-40B4-BE49-F238E27FC236}">
              <a16:creationId xmlns:a16="http://schemas.microsoft.com/office/drawing/2014/main" id="{F3356015-06F9-97B3-1D40-6F8650B6D986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164592</xdr:rowOff>
    </xdr:from>
    <xdr:to>
      <xdr:col>7</xdr:col>
      <xdr:colOff>666750</xdr:colOff>
      <xdr:row>16</xdr:row>
      <xdr:rowOff>205359</xdr:rowOff>
    </xdr:to>
    <xdr:sp macro="" textlink="">
      <xdr:nvSpPr>
        <xdr:cNvPr id="1475" name="diag_20">
          <a:extLst>
            <a:ext uri="{FF2B5EF4-FFF2-40B4-BE49-F238E27FC236}">
              <a16:creationId xmlns:a16="http://schemas.microsoft.com/office/drawing/2014/main" id="{BD8C1040-F808-936F-F896-78685F9079D6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15</xdr:row>
      <xdr:rowOff>164592</xdr:rowOff>
    </xdr:from>
    <xdr:to>
      <xdr:col>10</xdr:col>
      <xdr:colOff>271992</xdr:colOff>
      <xdr:row>16</xdr:row>
      <xdr:rowOff>205359</xdr:rowOff>
    </xdr:to>
    <xdr:sp macro="" textlink="">
      <xdr:nvSpPr>
        <xdr:cNvPr id="1476" name="diag_21">
          <a:extLst>
            <a:ext uri="{FF2B5EF4-FFF2-40B4-BE49-F238E27FC236}">
              <a16:creationId xmlns:a16="http://schemas.microsoft.com/office/drawing/2014/main" id="{01443C54-F70C-444E-EAAC-113FC23B7E61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15</xdr:row>
      <xdr:rowOff>164592</xdr:rowOff>
    </xdr:from>
    <xdr:to>
      <xdr:col>11</xdr:col>
      <xdr:colOff>727075</xdr:colOff>
      <xdr:row>16</xdr:row>
      <xdr:rowOff>205359</xdr:rowOff>
    </xdr:to>
    <xdr:sp macro="" textlink="">
      <xdr:nvSpPr>
        <xdr:cNvPr id="1477" name="diag_22">
          <a:extLst>
            <a:ext uri="{FF2B5EF4-FFF2-40B4-BE49-F238E27FC236}">
              <a16:creationId xmlns:a16="http://schemas.microsoft.com/office/drawing/2014/main" id="{232763B7-23D3-FDE1-BE22-406066EB45D7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230759</xdr:rowOff>
    </xdr:from>
    <xdr:to>
      <xdr:col>0</xdr:col>
      <xdr:colOff>355600</xdr:colOff>
      <xdr:row>18</xdr:row>
      <xdr:rowOff>33401</xdr:rowOff>
    </xdr:to>
    <xdr:sp macro="" textlink="">
      <xdr:nvSpPr>
        <xdr:cNvPr id="1478" name="diag_23">
          <a:extLst>
            <a:ext uri="{FF2B5EF4-FFF2-40B4-BE49-F238E27FC236}">
              <a16:creationId xmlns:a16="http://schemas.microsoft.com/office/drawing/2014/main" id="{8A9125E1-6DF3-6590-2F9B-96E51AD1E677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230759</xdr:rowOff>
    </xdr:from>
    <xdr:to>
      <xdr:col>11</xdr:col>
      <xdr:colOff>727075</xdr:colOff>
      <xdr:row>18</xdr:row>
      <xdr:rowOff>33401</xdr:rowOff>
    </xdr:to>
    <xdr:sp macro="" textlink="">
      <xdr:nvSpPr>
        <xdr:cNvPr id="1479" name="diag_24">
          <a:extLst>
            <a:ext uri="{FF2B5EF4-FFF2-40B4-BE49-F238E27FC236}">
              <a16:creationId xmlns:a16="http://schemas.microsoft.com/office/drawing/2014/main" id="{D2487F53-A72A-AA24-9543-DA9FD5779CC7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230759</xdr:rowOff>
    </xdr:from>
    <xdr:to>
      <xdr:col>3</xdr:col>
      <xdr:colOff>94192</xdr:colOff>
      <xdr:row>18</xdr:row>
      <xdr:rowOff>33401</xdr:rowOff>
    </xdr:to>
    <xdr:sp macro="" textlink="">
      <xdr:nvSpPr>
        <xdr:cNvPr id="1480" name="diag_25">
          <a:extLst>
            <a:ext uri="{FF2B5EF4-FFF2-40B4-BE49-F238E27FC236}">
              <a16:creationId xmlns:a16="http://schemas.microsoft.com/office/drawing/2014/main" id="{8FBCC5FB-827F-C60A-2623-C80EBB0A94C9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16</xdr:row>
      <xdr:rowOff>230759</xdr:rowOff>
    </xdr:from>
    <xdr:to>
      <xdr:col>5</xdr:col>
      <xdr:colOff>309033</xdr:colOff>
      <xdr:row>18</xdr:row>
      <xdr:rowOff>33401</xdr:rowOff>
    </xdr:to>
    <xdr:sp macro="" textlink="">
      <xdr:nvSpPr>
        <xdr:cNvPr id="1481" name="diag_26">
          <a:extLst>
            <a:ext uri="{FF2B5EF4-FFF2-40B4-BE49-F238E27FC236}">
              <a16:creationId xmlns:a16="http://schemas.microsoft.com/office/drawing/2014/main" id="{6811D765-4701-6EF7-2C15-1674D3F50118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230759</xdr:rowOff>
    </xdr:from>
    <xdr:to>
      <xdr:col>7</xdr:col>
      <xdr:colOff>666750</xdr:colOff>
      <xdr:row>18</xdr:row>
      <xdr:rowOff>33401</xdr:rowOff>
    </xdr:to>
    <xdr:sp macro="" textlink="">
      <xdr:nvSpPr>
        <xdr:cNvPr id="1482" name="diag_27">
          <a:extLst>
            <a:ext uri="{FF2B5EF4-FFF2-40B4-BE49-F238E27FC236}">
              <a16:creationId xmlns:a16="http://schemas.microsoft.com/office/drawing/2014/main" id="{704F4205-0E8C-76AD-CBF8-5882E543EF94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16</xdr:row>
      <xdr:rowOff>230759</xdr:rowOff>
    </xdr:from>
    <xdr:to>
      <xdr:col>10</xdr:col>
      <xdr:colOff>271992</xdr:colOff>
      <xdr:row>18</xdr:row>
      <xdr:rowOff>33401</xdr:rowOff>
    </xdr:to>
    <xdr:sp macro="" textlink="">
      <xdr:nvSpPr>
        <xdr:cNvPr id="1483" name="diag_28">
          <a:extLst>
            <a:ext uri="{FF2B5EF4-FFF2-40B4-BE49-F238E27FC236}">
              <a16:creationId xmlns:a16="http://schemas.microsoft.com/office/drawing/2014/main" id="{56088A90-6002-92AE-04BE-5DB50BC7D78E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16</xdr:row>
      <xdr:rowOff>230759</xdr:rowOff>
    </xdr:from>
    <xdr:to>
      <xdr:col>11</xdr:col>
      <xdr:colOff>727075</xdr:colOff>
      <xdr:row>18</xdr:row>
      <xdr:rowOff>33401</xdr:rowOff>
    </xdr:to>
    <xdr:sp macro="" textlink="">
      <xdr:nvSpPr>
        <xdr:cNvPr id="1484" name="diag_29">
          <a:extLst>
            <a:ext uri="{FF2B5EF4-FFF2-40B4-BE49-F238E27FC236}">
              <a16:creationId xmlns:a16="http://schemas.microsoft.com/office/drawing/2014/main" id="{A088BB91-2535-D8C2-7299-9D46E886958B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58801</xdr:rowOff>
    </xdr:from>
    <xdr:to>
      <xdr:col>0</xdr:col>
      <xdr:colOff>355600</xdr:colOff>
      <xdr:row>19</xdr:row>
      <xdr:rowOff>99568</xdr:rowOff>
    </xdr:to>
    <xdr:sp macro="" textlink="">
      <xdr:nvSpPr>
        <xdr:cNvPr id="1485" name="diag_30">
          <a:extLst>
            <a:ext uri="{FF2B5EF4-FFF2-40B4-BE49-F238E27FC236}">
              <a16:creationId xmlns:a16="http://schemas.microsoft.com/office/drawing/2014/main" id="{144506C3-A78F-B6C5-D1D2-D232EFCC9EB7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58801</xdr:rowOff>
    </xdr:from>
    <xdr:to>
      <xdr:col>11</xdr:col>
      <xdr:colOff>727075</xdr:colOff>
      <xdr:row>19</xdr:row>
      <xdr:rowOff>99568</xdr:rowOff>
    </xdr:to>
    <xdr:sp macro="" textlink="">
      <xdr:nvSpPr>
        <xdr:cNvPr id="1566" name="diag_31">
          <a:extLst>
            <a:ext uri="{FF2B5EF4-FFF2-40B4-BE49-F238E27FC236}">
              <a16:creationId xmlns:a16="http://schemas.microsoft.com/office/drawing/2014/main" id="{6C46D468-CB9C-2F15-B918-B4030A82E603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58801</xdr:rowOff>
    </xdr:from>
    <xdr:to>
      <xdr:col>3</xdr:col>
      <xdr:colOff>94192</xdr:colOff>
      <xdr:row>19</xdr:row>
      <xdr:rowOff>99568</xdr:rowOff>
    </xdr:to>
    <xdr:sp macro="" textlink="">
      <xdr:nvSpPr>
        <xdr:cNvPr id="1567" name="diag_32">
          <a:extLst>
            <a:ext uri="{FF2B5EF4-FFF2-40B4-BE49-F238E27FC236}">
              <a16:creationId xmlns:a16="http://schemas.microsoft.com/office/drawing/2014/main" id="{367691C1-0C8D-DA71-A214-251E2DB0F126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18</xdr:row>
      <xdr:rowOff>58801</xdr:rowOff>
    </xdr:from>
    <xdr:to>
      <xdr:col>5</xdr:col>
      <xdr:colOff>309033</xdr:colOff>
      <xdr:row>19</xdr:row>
      <xdr:rowOff>99568</xdr:rowOff>
    </xdr:to>
    <xdr:sp macro="" textlink="">
      <xdr:nvSpPr>
        <xdr:cNvPr id="1568" name="diag_33">
          <a:extLst>
            <a:ext uri="{FF2B5EF4-FFF2-40B4-BE49-F238E27FC236}">
              <a16:creationId xmlns:a16="http://schemas.microsoft.com/office/drawing/2014/main" id="{9F1D60FD-3C8D-FB1C-1397-0AB8BEE7EA78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58801</xdr:rowOff>
    </xdr:from>
    <xdr:to>
      <xdr:col>7</xdr:col>
      <xdr:colOff>666750</xdr:colOff>
      <xdr:row>19</xdr:row>
      <xdr:rowOff>99568</xdr:rowOff>
    </xdr:to>
    <xdr:sp macro="" textlink="">
      <xdr:nvSpPr>
        <xdr:cNvPr id="1569" name="diag_34">
          <a:extLst>
            <a:ext uri="{FF2B5EF4-FFF2-40B4-BE49-F238E27FC236}">
              <a16:creationId xmlns:a16="http://schemas.microsoft.com/office/drawing/2014/main" id="{CAAF5E4A-2959-18A7-C999-26B81A8D7FF2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18</xdr:row>
      <xdr:rowOff>58801</xdr:rowOff>
    </xdr:from>
    <xdr:to>
      <xdr:col>9</xdr:col>
      <xdr:colOff>558800</xdr:colOff>
      <xdr:row>19</xdr:row>
      <xdr:rowOff>99568</xdr:rowOff>
    </xdr:to>
    <xdr:sp macro="" textlink="">
      <xdr:nvSpPr>
        <xdr:cNvPr id="1570" name="diag_35">
          <a:extLst>
            <a:ext uri="{FF2B5EF4-FFF2-40B4-BE49-F238E27FC236}">
              <a16:creationId xmlns:a16="http://schemas.microsoft.com/office/drawing/2014/main" id="{64CB7125-C551-53F8-29C6-FF8FCE15CC80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558800</xdr:colOff>
      <xdr:row>18</xdr:row>
      <xdr:rowOff>58801</xdr:rowOff>
    </xdr:from>
    <xdr:to>
      <xdr:col>11</xdr:col>
      <xdr:colOff>727075</xdr:colOff>
      <xdr:row>19</xdr:row>
      <xdr:rowOff>99568</xdr:rowOff>
    </xdr:to>
    <xdr:sp macro="" textlink="">
      <xdr:nvSpPr>
        <xdr:cNvPr id="1571" name="diag_36">
          <a:extLst>
            <a:ext uri="{FF2B5EF4-FFF2-40B4-BE49-F238E27FC236}">
              <a16:creationId xmlns:a16="http://schemas.microsoft.com/office/drawing/2014/main" id="{C8056F00-CBB9-C22F-550B-7E2987E3531B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124968</xdr:rowOff>
    </xdr:from>
    <xdr:to>
      <xdr:col>0</xdr:col>
      <xdr:colOff>355600</xdr:colOff>
      <xdr:row>20</xdr:row>
      <xdr:rowOff>165735</xdr:rowOff>
    </xdr:to>
    <xdr:sp macro="" textlink="">
      <xdr:nvSpPr>
        <xdr:cNvPr id="1572" name="diag_37">
          <a:extLst>
            <a:ext uri="{FF2B5EF4-FFF2-40B4-BE49-F238E27FC236}">
              <a16:creationId xmlns:a16="http://schemas.microsoft.com/office/drawing/2014/main" id="{26B30B0F-0A86-6D30-69DA-D4C224AAD8BC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124968</xdr:rowOff>
    </xdr:from>
    <xdr:to>
      <xdr:col>11</xdr:col>
      <xdr:colOff>727075</xdr:colOff>
      <xdr:row>20</xdr:row>
      <xdr:rowOff>165735</xdr:rowOff>
    </xdr:to>
    <xdr:sp macro="" textlink="">
      <xdr:nvSpPr>
        <xdr:cNvPr id="1573" name="diag_38">
          <a:extLst>
            <a:ext uri="{FF2B5EF4-FFF2-40B4-BE49-F238E27FC236}">
              <a16:creationId xmlns:a16="http://schemas.microsoft.com/office/drawing/2014/main" id="{B023CF7B-6106-BE82-E15B-51C6B5506C87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124968</xdr:rowOff>
    </xdr:from>
    <xdr:to>
      <xdr:col>2</xdr:col>
      <xdr:colOff>613833</xdr:colOff>
      <xdr:row>20</xdr:row>
      <xdr:rowOff>165735</xdr:rowOff>
    </xdr:to>
    <xdr:sp macro="" textlink="">
      <xdr:nvSpPr>
        <xdr:cNvPr id="1574" name="diag_39">
          <a:extLst>
            <a:ext uri="{FF2B5EF4-FFF2-40B4-BE49-F238E27FC236}">
              <a16:creationId xmlns:a16="http://schemas.microsoft.com/office/drawing/2014/main" id="{A3871172-7A33-9C67-99A1-A759F1E0933E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124968</xdr:rowOff>
    </xdr:from>
    <xdr:to>
      <xdr:col>4</xdr:col>
      <xdr:colOff>738717</xdr:colOff>
      <xdr:row>20</xdr:row>
      <xdr:rowOff>165735</xdr:rowOff>
    </xdr:to>
    <xdr:sp macro="" textlink="">
      <xdr:nvSpPr>
        <xdr:cNvPr id="1575" name="diag_40">
          <a:extLst>
            <a:ext uri="{FF2B5EF4-FFF2-40B4-BE49-F238E27FC236}">
              <a16:creationId xmlns:a16="http://schemas.microsoft.com/office/drawing/2014/main" id="{5C2EF128-9646-0D95-67F5-7A7410651416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19</xdr:row>
      <xdr:rowOff>124968</xdr:rowOff>
    </xdr:from>
    <xdr:to>
      <xdr:col>6</xdr:col>
      <xdr:colOff>720725</xdr:colOff>
      <xdr:row>20</xdr:row>
      <xdr:rowOff>165735</xdr:rowOff>
    </xdr:to>
    <xdr:sp macro="" textlink="">
      <xdr:nvSpPr>
        <xdr:cNvPr id="1576" name="diag_41">
          <a:extLst>
            <a:ext uri="{FF2B5EF4-FFF2-40B4-BE49-F238E27FC236}">
              <a16:creationId xmlns:a16="http://schemas.microsoft.com/office/drawing/2014/main" id="{CFAB2328-5E00-9BDD-A5B7-F51DF7EB7664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19</xdr:row>
      <xdr:rowOff>124968</xdr:rowOff>
    </xdr:from>
    <xdr:to>
      <xdr:col>9</xdr:col>
      <xdr:colOff>93133</xdr:colOff>
      <xdr:row>20</xdr:row>
      <xdr:rowOff>165735</xdr:rowOff>
    </xdr:to>
    <xdr:sp macro="" textlink="">
      <xdr:nvSpPr>
        <xdr:cNvPr id="1577" name="diag_42">
          <a:extLst>
            <a:ext uri="{FF2B5EF4-FFF2-40B4-BE49-F238E27FC236}">
              <a16:creationId xmlns:a16="http://schemas.microsoft.com/office/drawing/2014/main" id="{15BEDE10-70E4-43C1-6F34-EAF1EA16C651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93133</xdr:colOff>
      <xdr:row>19</xdr:row>
      <xdr:rowOff>124968</xdr:rowOff>
    </xdr:from>
    <xdr:to>
      <xdr:col>10</xdr:col>
      <xdr:colOff>271991</xdr:colOff>
      <xdr:row>20</xdr:row>
      <xdr:rowOff>165735</xdr:rowOff>
    </xdr:to>
    <xdr:sp macro="" textlink="">
      <xdr:nvSpPr>
        <xdr:cNvPr id="1578" name="diag_43">
          <a:extLst>
            <a:ext uri="{FF2B5EF4-FFF2-40B4-BE49-F238E27FC236}">
              <a16:creationId xmlns:a16="http://schemas.microsoft.com/office/drawing/2014/main" id="{63D54823-8B56-D486-3BE3-B5F77E689D24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271992</xdr:colOff>
      <xdr:row>19</xdr:row>
      <xdr:rowOff>124968</xdr:rowOff>
    </xdr:from>
    <xdr:to>
      <xdr:col>11</xdr:col>
      <xdr:colOff>727075</xdr:colOff>
      <xdr:row>20</xdr:row>
      <xdr:rowOff>165735</xdr:rowOff>
    </xdr:to>
    <xdr:sp macro="" textlink="">
      <xdr:nvSpPr>
        <xdr:cNvPr id="1579" name="diag_44">
          <a:extLst>
            <a:ext uri="{FF2B5EF4-FFF2-40B4-BE49-F238E27FC236}">
              <a16:creationId xmlns:a16="http://schemas.microsoft.com/office/drawing/2014/main" id="{962D12A2-6B22-42EF-7858-13D2586DC389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54610</xdr:rowOff>
    </xdr:from>
    <xdr:to>
      <xdr:col>11</xdr:col>
      <xdr:colOff>727075</xdr:colOff>
      <xdr:row>21</xdr:row>
      <xdr:rowOff>232410</xdr:rowOff>
    </xdr:to>
    <xdr:sp macro="" textlink="">
      <xdr:nvSpPr>
        <xdr:cNvPr id="1580" name="diag_45">
          <a:extLst>
            <a:ext uri="{FF2B5EF4-FFF2-40B4-BE49-F238E27FC236}">
              <a16:creationId xmlns:a16="http://schemas.microsoft.com/office/drawing/2014/main" id="{56FDB48B-F52F-4C72-6BB6-30B95528EE01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5 rows  (tiers 6-10)</a:t>
          </a:r>
        </a:p>
      </xdr:txBody>
    </xdr:sp>
    <xdr:clientData/>
  </xdr:twoCellAnchor>
  <xdr:twoCellAnchor>
    <xdr:from>
      <xdr:col>0</xdr:col>
      <xdr:colOff>190500</xdr:colOff>
      <xdr:row>21</xdr:row>
      <xdr:rowOff>232410</xdr:rowOff>
    </xdr:from>
    <xdr:to>
      <xdr:col>0</xdr:col>
      <xdr:colOff>520700</xdr:colOff>
      <xdr:row>22</xdr:row>
      <xdr:rowOff>133985</xdr:rowOff>
    </xdr:to>
    <xdr:sp macro="" textlink="">
      <xdr:nvSpPr>
        <xdr:cNvPr id="1581" name="diag_46">
          <a:extLst>
            <a:ext uri="{FF2B5EF4-FFF2-40B4-BE49-F238E27FC236}">
              <a16:creationId xmlns:a16="http://schemas.microsoft.com/office/drawing/2014/main" id="{BA7382BA-9957-E3E8-D41F-B42AA6C1F21C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232410</xdr:rowOff>
    </xdr:from>
    <xdr:to>
      <xdr:col>2</xdr:col>
      <xdr:colOff>546100</xdr:colOff>
      <xdr:row>22</xdr:row>
      <xdr:rowOff>133985</xdr:rowOff>
    </xdr:to>
    <xdr:sp macro="" textlink="">
      <xdr:nvSpPr>
        <xdr:cNvPr id="1582" name="diag_47">
          <a:extLst>
            <a:ext uri="{FF2B5EF4-FFF2-40B4-BE49-F238E27FC236}">
              <a16:creationId xmlns:a16="http://schemas.microsoft.com/office/drawing/2014/main" id="{5DE8B6D6-8A22-B8CC-2108-D59FE7B69071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107950</xdr:colOff>
      <xdr:row>21</xdr:row>
      <xdr:rowOff>232410</xdr:rowOff>
    </xdr:from>
    <xdr:to>
      <xdr:col>4</xdr:col>
      <xdr:colOff>438150</xdr:colOff>
      <xdr:row>22</xdr:row>
      <xdr:rowOff>133985</xdr:rowOff>
    </xdr:to>
    <xdr:sp macro="" textlink="">
      <xdr:nvSpPr>
        <xdr:cNvPr id="1583" name="diag_48">
          <a:extLst>
            <a:ext uri="{FF2B5EF4-FFF2-40B4-BE49-F238E27FC236}">
              <a16:creationId xmlns:a16="http://schemas.microsoft.com/office/drawing/2014/main" id="{88376DD1-609A-23DD-8DEF-CBDA6CF77F59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232410</xdr:rowOff>
    </xdr:from>
    <xdr:to>
      <xdr:col>6</xdr:col>
      <xdr:colOff>187325</xdr:colOff>
      <xdr:row>22</xdr:row>
      <xdr:rowOff>133985</xdr:rowOff>
    </xdr:to>
    <xdr:sp macro="" textlink="">
      <xdr:nvSpPr>
        <xdr:cNvPr id="1584" name="diag_49">
          <a:extLst>
            <a:ext uri="{FF2B5EF4-FFF2-40B4-BE49-F238E27FC236}">
              <a16:creationId xmlns:a16="http://schemas.microsoft.com/office/drawing/2014/main" id="{9EBC0A46-12AF-2AE3-5575-79FEBCB9C903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501650</xdr:colOff>
      <xdr:row>21</xdr:row>
      <xdr:rowOff>232410</xdr:rowOff>
    </xdr:from>
    <xdr:to>
      <xdr:col>8</xdr:col>
      <xdr:colOff>79375</xdr:colOff>
      <xdr:row>22</xdr:row>
      <xdr:rowOff>133985</xdr:rowOff>
    </xdr:to>
    <xdr:sp macro="" textlink="">
      <xdr:nvSpPr>
        <xdr:cNvPr id="1585" name="diag_50">
          <a:extLst>
            <a:ext uri="{FF2B5EF4-FFF2-40B4-BE49-F238E27FC236}">
              <a16:creationId xmlns:a16="http://schemas.microsoft.com/office/drawing/2014/main" id="{8FD8BE40-815A-AC4C-0008-AA40C93A67E1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393700</xdr:colOff>
      <xdr:row>21</xdr:row>
      <xdr:rowOff>232410</xdr:rowOff>
    </xdr:from>
    <xdr:to>
      <xdr:col>9</xdr:col>
      <xdr:colOff>723900</xdr:colOff>
      <xdr:row>22</xdr:row>
      <xdr:rowOff>133985</xdr:rowOff>
    </xdr:to>
    <xdr:sp macro="" textlink="">
      <xdr:nvSpPr>
        <xdr:cNvPr id="1586" name="diag_51">
          <a:extLst>
            <a:ext uri="{FF2B5EF4-FFF2-40B4-BE49-F238E27FC236}">
              <a16:creationId xmlns:a16="http://schemas.microsoft.com/office/drawing/2014/main" id="{472FDAF7-8B84-6D53-4AE3-EB511454468B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561975</xdr:colOff>
      <xdr:row>21</xdr:row>
      <xdr:rowOff>232410</xdr:rowOff>
    </xdr:from>
    <xdr:to>
      <xdr:col>11</xdr:col>
      <xdr:colOff>892175</xdr:colOff>
      <xdr:row>22</xdr:row>
      <xdr:rowOff>133985</xdr:rowOff>
    </xdr:to>
    <xdr:sp macro="" textlink="">
      <xdr:nvSpPr>
        <xdr:cNvPr id="1587" name="diag_52">
          <a:extLst>
            <a:ext uri="{FF2B5EF4-FFF2-40B4-BE49-F238E27FC236}">
              <a16:creationId xmlns:a16="http://schemas.microsoft.com/office/drawing/2014/main" id="{92AAFD66-BE51-BB8F-532D-C6B76ED5193B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133985</xdr:rowOff>
    </xdr:from>
    <xdr:to>
      <xdr:col>0</xdr:col>
      <xdr:colOff>355600</xdr:colOff>
      <xdr:row>23</xdr:row>
      <xdr:rowOff>174752</xdr:rowOff>
    </xdr:to>
    <xdr:sp macro="" textlink="">
      <xdr:nvSpPr>
        <xdr:cNvPr id="1588" name="diag_53">
          <a:extLst>
            <a:ext uri="{FF2B5EF4-FFF2-40B4-BE49-F238E27FC236}">
              <a16:creationId xmlns:a16="http://schemas.microsoft.com/office/drawing/2014/main" id="{E9FD9EF2-E621-C2A7-4981-790963DD6082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133985</xdr:rowOff>
    </xdr:from>
    <xdr:to>
      <xdr:col>11</xdr:col>
      <xdr:colOff>727075</xdr:colOff>
      <xdr:row>23</xdr:row>
      <xdr:rowOff>174752</xdr:rowOff>
    </xdr:to>
    <xdr:sp macro="" textlink="">
      <xdr:nvSpPr>
        <xdr:cNvPr id="1589" name="diag_54">
          <a:extLst>
            <a:ext uri="{FF2B5EF4-FFF2-40B4-BE49-F238E27FC236}">
              <a16:creationId xmlns:a16="http://schemas.microsoft.com/office/drawing/2014/main" id="{71020F9C-76C9-3D06-F77D-21A30BDED017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133985</xdr:rowOff>
    </xdr:from>
    <xdr:to>
      <xdr:col>2</xdr:col>
      <xdr:colOff>613833</xdr:colOff>
      <xdr:row>23</xdr:row>
      <xdr:rowOff>174752</xdr:rowOff>
    </xdr:to>
    <xdr:sp macro="" textlink="">
      <xdr:nvSpPr>
        <xdr:cNvPr id="1590" name="diag_55">
          <a:extLst>
            <a:ext uri="{FF2B5EF4-FFF2-40B4-BE49-F238E27FC236}">
              <a16:creationId xmlns:a16="http://schemas.microsoft.com/office/drawing/2014/main" id="{F58E5127-FFA1-4FBB-146F-9AF4681A013C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133985</xdr:rowOff>
    </xdr:from>
    <xdr:to>
      <xdr:col>4</xdr:col>
      <xdr:colOff>738717</xdr:colOff>
      <xdr:row>23</xdr:row>
      <xdr:rowOff>174752</xdr:rowOff>
    </xdr:to>
    <xdr:sp macro="" textlink="">
      <xdr:nvSpPr>
        <xdr:cNvPr id="1591" name="diag_56">
          <a:extLst>
            <a:ext uri="{FF2B5EF4-FFF2-40B4-BE49-F238E27FC236}">
              <a16:creationId xmlns:a16="http://schemas.microsoft.com/office/drawing/2014/main" id="{FEBCE856-2F57-21C1-E413-49760B42F26B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22</xdr:row>
      <xdr:rowOff>133985</xdr:rowOff>
    </xdr:from>
    <xdr:to>
      <xdr:col>6</xdr:col>
      <xdr:colOff>720725</xdr:colOff>
      <xdr:row>23</xdr:row>
      <xdr:rowOff>174752</xdr:rowOff>
    </xdr:to>
    <xdr:sp macro="" textlink="">
      <xdr:nvSpPr>
        <xdr:cNvPr id="1592" name="diag_57">
          <a:extLst>
            <a:ext uri="{FF2B5EF4-FFF2-40B4-BE49-F238E27FC236}">
              <a16:creationId xmlns:a16="http://schemas.microsoft.com/office/drawing/2014/main" id="{598357C1-E67E-A18B-23B5-869BC11149DF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22</xdr:row>
      <xdr:rowOff>133985</xdr:rowOff>
    </xdr:from>
    <xdr:to>
      <xdr:col>9</xdr:col>
      <xdr:colOff>93133</xdr:colOff>
      <xdr:row>23</xdr:row>
      <xdr:rowOff>174752</xdr:rowOff>
    </xdr:to>
    <xdr:sp macro="" textlink="">
      <xdr:nvSpPr>
        <xdr:cNvPr id="1593" name="diag_58">
          <a:extLst>
            <a:ext uri="{FF2B5EF4-FFF2-40B4-BE49-F238E27FC236}">
              <a16:creationId xmlns:a16="http://schemas.microsoft.com/office/drawing/2014/main" id="{FFFFBF83-6366-C1A0-401C-E0B42CE0A5A0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93133</xdr:colOff>
      <xdr:row>22</xdr:row>
      <xdr:rowOff>133985</xdr:rowOff>
    </xdr:from>
    <xdr:to>
      <xdr:col>10</xdr:col>
      <xdr:colOff>271991</xdr:colOff>
      <xdr:row>23</xdr:row>
      <xdr:rowOff>174752</xdr:rowOff>
    </xdr:to>
    <xdr:sp macro="" textlink="">
      <xdr:nvSpPr>
        <xdr:cNvPr id="1594" name="diag_59">
          <a:extLst>
            <a:ext uri="{FF2B5EF4-FFF2-40B4-BE49-F238E27FC236}">
              <a16:creationId xmlns:a16="http://schemas.microsoft.com/office/drawing/2014/main" id="{B7717EC1-4B25-43A9-18F4-F4AC20BBB1CB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271992</xdr:colOff>
      <xdr:row>22</xdr:row>
      <xdr:rowOff>133985</xdr:rowOff>
    </xdr:from>
    <xdr:to>
      <xdr:col>11</xdr:col>
      <xdr:colOff>727075</xdr:colOff>
      <xdr:row>23</xdr:row>
      <xdr:rowOff>174752</xdr:rowOff>
    </xdr:to>
    <xdr:sp macro="" textlink="">
      <xdr:nvSpPr>
        <xdr:cNvPr id="1595" name="diag_60">
          <a:extLst>
            <a:ext uri="{FF2B5EF4-FFF2-40B4-BE49-F238E27FC236}">
              <a16:creationId xmlns:a16="http://schemas.microsoft.com/office/drawing/2014/main" id="{94D3F774-1FDB-B52E-DD33-0366FEC2E628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2794</xdr:rowOff>
    </xdr:to>
    <xdr:sp macro="" textlink="">
      <xdr:nvSpPr>
        <xdr:cNvPr id="1596" name="diag_61">
          <a:extLst>
            <a:ext uri="{FF2B5EF4-FFF2-40B4-BE49-F238E27FC236}">
              <a16:creationId xmlns:a16="http://schemas.microsoft.com/office/drawing/2014/main" id="{3BAB44D3-07E8-1CBA-55D9-D8956ABAC43F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727075</xdr:colOff>
      <xdr:row>25</xdr:row>
      <xdr:rowOff>2794</xdr:rowOff>
    </xdr:to>
    <xdr:sp macro="" textlink="">
      <xdr:nvSpPr>
        <xdr:cNvPr id="1597" name="diag_62">
          <a:extLst>
            <a:ext uri="{FF2B5EF4-FFF2-40B4-BE49-F238E27FC236}">
              <a16:creationId xmlns:a16="http://schemas.microsoft.com/office/drawing/2014/main" id="{885E3F61-AA41-B3F7-FE97-C295E35175F4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2794</xdr:rowOff>
    </xdr:to>
    <xdr:sp macro="" textlink="">
      <xdr:nvSpPr>
        <xdr:cNvPr id="1598" name="diag_63">
          <a:extLst>
            <a:ext uri="{FF2B5EF4-FFF2-40B4-BE49-F238E27FC236}">
              <a16:creationId xmlns:a16="http://schemas.microsoft.com/office/drawing/2014/main" id="{EBDEB73A-6D7A-A2C0-8BF5-16D0BCC198AA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738717</xdr:colOff>
      <xdr:row>25</xdr:row>
      <xdr:rowOff>2794</xdr:rowOff>
    </xdr:to>
    <xdr:sp macro="" textlink="">
      <xdr:nvSpPr>
        <xdr:cNvPr id="1599" name="diag_64">
          <a:extLst>
            <a:ext uri="{FF2B5EF4-FFF2-40B4-BE49-F238E27FC236}">
              <a16:creationId xmlns:a16="http://schemas.microsoft.com/office/drawing/2014/main" id="{EE7BE993-106E-D243-4C28-9F00ACF2785A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23</xdr:row>
      <xdr:rowOff>200152</xdr:rowOff>
    </xdr:from>
    <xdr:to>
      <xdr:col>6</xdr:col>
      <xdr:colOff>720725</xdr:colOff>
      <xdr:row>25</xdr:row>
      <xdr:rowOff>2794</xdr:rowOff>
    </xdr:to>
    <xdr:sp macro="" textlink="">
      <xdr:nvSpPr>
        <xdr:cNvPr id="1600" name="diag_65">
          <a:extLst>
            <a:ext uri="{FF2B5EF4-FFF2-40B4-BE49-F238E27FC236}">
              <a16:creationId xmlns:a16="http://schemas.microsoft.com/office/drawing/2014/main" id="{6F8200AD-8FCA-DE06-57C2-3ADB3579235F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23</xdr:row>
      <xdr:rowOff>200152</xdr:rowOff>
    </xdr:from>
    <xdr:to>
      <xdr:col>8</xdr:col>
      <xdr:colOff>379942</xdr:colOff>
      <xdr:row>25</xdr:row>
      <xdr:rowOff>2794</xdr:rowOff>
    </xdr:to>
    <xdr:sp macro="" textlink="">
      <xdr:nvSpPr>
        <xdr:cNvPr id="1601" name="diag_66">
          <a:extLst>
            <a:ext uri="{FF2B5EF4-FFF2-40B4-BE49-F238E27FC236}">
              <a16:creationId xmlns:a16="http://schemas.microsoft.com/office/drawing/2014/main" id="{1F1129D1-D825-CFCA-E28F-EBE378EAC207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23</xdr:row>
      <xdr:rowOff>200152</xdr:rowOff>
    </xdr:from>
    <xdr:to>
      <xdr:col>10</xdr:col>
      <xdr:colOff>39158</xdr:colOff>
      <xdr:row>25</xdr:row>
      <xdr:rowOff>2794</xdr:rowOff>
    </xdr:to>
    <xdr:sp macro="" textlink="">
      <xdr:nvSpPr>
        <xdr:cNvPr id="1602" name="diag_67">
          <a:extLst>
            <a:ext uri="{FF2B5EF4-FFF2-40B4-BE49-F238E27FC236}">
              <a16:creationId xmlns:a16="http://schemas.microsoft.com/office/drawing/2014/main" id="{34F15C3C-1851-57DB-16F4-2B684A2A3D7F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23</xdr:row>
      <xdr:rowOff>200152</xdr:rowOff>
    </xdr:from>
    <xdr:to>
      <xdr:col>11</xdr:col>
      <xdr:colOff>727075</xdr:colOff>
      <xdr:row>25</xdr:row>
      <xdr:rowOff>2794</xdr:rowOff>
    </xdr:to>
    <xdr:sp macro="" textlink="">
      <xdr:nvSpPr>
        <xdr:cNvPr id="1603" name="diag_68">
          <a:extLst>
            <a:ext uri="{FF2B5EF4-FFF2-40B4-BE49-F238E27FC236}">
              <a16:creationId xmlns:a16="http://schemas.microsoft.com/office/drawing/2014/main" id="{50C1F0EA-4017-DD28-3E99-879A32469B50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28194</xdr:rowOff>
    </xdr:from>
    <xdr:to>
      <xdr:col>0</xdr:col>
      <xdr:colOff>355600</xdr:colOff>
      <xdr:row>26</xdr:row>
      <xdr:rowOff>68961</xdr:rowOff>
    </xdr:to>
    <xdr:sp macro="" textlink="">
      <xdr:nvSpPr>
        <xdr:cNvPr id="1604" name="diag_69">
          <a:extLst>
            <a:ext uri="{FF2B5EF4-FFF2-40B4-BE49-F238E27FC236}">
              <a16:creationId xmlns:a16="http://schemas.microsoft.com/office/drawing/2014/main" id="{0DDD4712-C8A4-264E-6475-6A399176182A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28194</xdr:rowOff>
    </xdr:from>
    <xdr:to>
      <xdr:col>11</xdr:col>
      <xdr:colOff>727075</xdr:colOff>
      <xdr:row>26</xdr:row>
      <xdr:rowOff>68961</xdr:rowOff>
    </xdr:to>
    <xdr:sp macro="" textlink="">
      <xdr:nvSpPr>
        <xdr:cNvPr id="1605" name="diag_70">
          <a:extLst>
            <a:ext uri="{FF2B5EF4-FFF2-40B4-BE49-F238E27FC236}">
              <a16:creationId xmlns:a16="http://schemas.microsoft.com/office/drawing/2014/main" id="{025FB859-6FBC-EE86-D490-CCCD2F2D078E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28194</xdr:rowOff>
    </xdr:from>
    <xdr:to>
      <xdr:col>2</xdr:col>
      <xdr:colOff>381000</xdr:colOff>
      <xdr:row>26</xdr:row>
      <xdr:rowOff>68961</xdr:rowOff>
    </xdr:to>
    <xdr:sp macro="" textlink="">
      <xdr:nvSpPr>
        <xdr:cNvPr id="1606" name="diag_71">
          <a:extLst>
            <a:ext uri="{FF2B5EF4-FFF2-40B4-BE49-F238E27FC236}">
              <a16:creationId xmlns:a16="http://schemas.microsoft.com/office/drawing/2014/main" id="{784121B5-AA55-5A3B-521C-D25E5B630C6A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28194</xdr:rowOff>
    </xdr:from>
    <xdr:to>
      <xdr:col>4</xdr:col>
      <xdr:colOff>273050</xdr:colOff>
      <xdr:row>26</xdr:row>
      <xdr:rowOff>68961</xdr:rowOff>
    </xdr:to>
    <xdr:sp macro="" textlink="">
      <xdr:nvSpPr>
        <xdr:cNvPr id="1607" name="diag_72">
          <a:extLst>
            <a:ext uri="{FF2B5EF4-FFF2-40B4-BE49-F238E27FC236}">
              <a16:creationId xmlns:a16="http://schemas.microsoft.com/office/drawing/2014/main" id="{6617F160-8C24-9E7D-7779-4602AFB2B2E2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273050</xdr:colOff>
      <xdr:row>25</xdr:row>
      <xdr:rowOff>28194</xdr:rowOff>
    </xdr:from>
    <xdr:to>
      <xdr:col>6</xdr:col>
      <xdr:colOff>22225</xdr:colOff>
      <xdr:row>26</xdr:row>
      <xdr:rowOff>68961</xdr:rowOff>
    </xdr:to>
    <xdr:sp macro="" textlink="">
      <xdr:nvSpPr>
        <xdr:cNvPr id="1608" name="diag_73">
          <a:extLst>
            <a:ext uri="{FF2B5EF4-FFF2-40B4-BE49-F238E27FC236}">
              <a16:creationId xmlns:a16="http://schemas.microsoft.com/office/drawing/2014/main" id="{F75B98FA-9B17-4807-D807-6FC165C7B3E4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22225</xdr:colOff>
      <xdr:row>25</xdr:row>
      <xdr:rowOff>28194</xdr:rowOff>
    </xdr:from>
    <xdr:to>
      <xdr:col>7</xdr:col>
      <xdr:colOff>666750</xdr:colOff>
      <xdr:row>26</xdr:row>
      <xdr:rowOff>68961</xdr:rowOff>
    </xdr:to>
    <xdr:sp macro="" textlink="">
      <xdr:nvSpPr>
        <xdr:cNvPr id="1609" name="diag_74">
          <a:extLst>
            <a:ext uri="{FF2B5EF4-FFF2-40B4-BE49-F238E27FC236}">
              <a16:creationId xmlns:a16="http://schemas.microsoft.com/office/drawing/2014/main" id="{939282C2-12A4-F7C4-0A55-92C4A4FF74B2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666750</xdr:colOff>
      <xdr:row>25</xdr:row>
      <xdr:rowOff>28194</xdr:rowOff>
    </xdr:from>
    <xdr:to>
      <xdr:col>9</xdr:col>
      <xdr:colOff>558800</xdr:colOff>
      <xdr:row>26</xdr:row>
      <xdr:rowOff>68961</xdr:rowOff>
    </xdr:to>
    <xdr:sp macro="" textlink="">
      <xdr:nvSpPr>
        <xdr:cNvPr id="1610" name="diag_75">
          <a:extLst>
            <a:ext uri="{FF2B5EF4-FFF2-40B4-BE49-F238E27FC236}">
              <a16:creationId xmlns:a16="http://schemas.microsoft.com/office/drawing/2014/main" id="{AD1E2014-2985-7115-FCCA-C68B485E03FB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558800</xdr:colOff>
      <xdr:row>25</xdr:row>
      <xdr:rowOff>28194</xdr:rowOff>
    </xdr:from>
    <xdr:to>
      <xdr:col>11</xdr:col>
      <xdr:colOff>727075</xdr:colOff>
      <xdr:row>26</xdr:row>
      <xdr:rowOff>68961</xdr:rowOff>
    </xdr:to>
    <xdr:sp macro="" textlink="">
      <xdr:nvSpPr>
        <xdr:cNvPr id="1611" name="diag_76">
          <a:extLst>
            <a:ext uri="{FF2B5EF4-FFF2-40B4-BE49-F238E27FC236}">
              <a16:creationId xmlns:a16="http://schemas.microsoft.com/office/drawing/2014/main" id="{6A2D1388-7876-E3A1-7948-F49E3FFB6315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94361</xdr:rowOff>
    </xdr:from>
    <xdr:to>
      <xdr:col>0</xdr:col>
      <xdr:colOff>355600</xdr:colOff>
      <xdr:row>27</xdr:row>
      <xdr:rowOff>135128</xdr:rowOff>
    </xdr:to>
    <xdr:sp macro="" textlink="">
      <xdr:nvSpPr>
        <xdr:cNvPr id="1612" name="diag_77">
          <a:extLst>
            <a:ext uri="{FF2B5EF4-FFF2-40B4-BE49-F238E27FC236}">
              <a16:creationId xmlns:a16="http://schemas.microsoft.com/office/drawing/2014/main" id="{20594250-5990-6964-665F-B134898DC8DC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94361</xdr:rowOff>
    </xdr:from>
    <xdr:to>
      <xdr:col>11</xdr:col>
      <xdr:colOff>727075</xdr:colOff>
      <xdr:row>27</xdr:row>
      <xdr:rowOff>135128</xdr:rowOff>
    </xdr:to>
    <xdr:sp macro="" textlink="">
      <xdr:nvSpPr>
        <xdr:cNvPr id="1613" name="diag_78">
          <a:extLst>
            <a:ext uri="{FF2B5EF4-FFF2-40B4-BE49-F238E27FC236}">
              <a16:creationId xmlns:a16="http://schemas.microsoft.com/office/drawing/2014/main" id="{01BEB1F1-3E3B-3E83-95F2-40533FA43793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94361</xdr:rowOff>
    </xdr:from>
    <xdr:to>
      <xdr:col>2</xdr:col>
      <xdr:colOff>381000</xdr:colOff>
      <xdr:row>27</xdr:row>
      <xdr:rowOff>135128</xdr:rowOff>
    </xdr:to>
    <xdr:sp macro="" textlink="">
      <xdr:nvSpPr>
        <xdr:cNvPr id="1614" name="diag_79">
          <a:extLst>
            <a:ext uri="{FF2B5EF4-FFF2-40B4-BE49-F238E27FC236}">
              <a16:creationId xmlns:a16="http://schemas.microsoft.com/office/drawing/2014/main" id="{2E87AF83-EDFF-5C2A-D6AA-EDF7860A4DFE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94361</xdr:rowOff>
    </xdr:from>
    <xdr:to>
      <xdr:col>4</xdr:col>
      <xdr:colOff>40217</xdr:colOff>
      <xdr:row>27</xdr:row>
      <xdr:rowOff>135128</xdr:rowOff>
    </xdr:to>
    <xdr:sp macro="" textlink="">
      <xdr:nvSpPr>
        <xdr:cNvPr id="1615" name="diag_80">
          <a:extLst>
            <a:ext uri="{FF2B5EF4-FFF2-40B4-BE49-F238E27FC236}">
              <a16:creationId xmlns:a16="http://schemas.microsoft.com/office/drawing/2014/main" id="{245D80ED-53CD-0869-AECA-129AD4F4C80D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40217</xdr:colOff>
      <xdr:row>26</xdr:row>
      <xdr:rowOff>94361</xdr:rowOff>
    </xdr:from>
    <xdr:to>
      <xdr:col>5</xdr:col>
      <xdr:colOff>309033</xdr:colOff>
      <xdr:row>27</xdr:row>
      <xdr:rowOff>135128</xdr:rowOff>
    </xdr:to>
    <xdr:sp macro="" textlink="">
      <xdr:nvSpPr>
        <xdr:cNvPr id="1616" name="diag_81">
          <a:extLst>
            <a:ext uri="{FF2B5EF4-FFF2-40B4-BE49-F238E27FC236}">
              <a16:creationId xmlns:a16="http://schemas.microsoft.com/office/drawing/2014/main" id="{5C42D7BB-E1DC-5846-B9CA-78E0A6278E6F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94361</xdr:rowOff>
    </xdr:from>
    <xdr:to>
      <xdr:col>6</xdr:col>
      <xdr:colOff>720725</xdr:colOff>
      <xdr:row>27</xdr:row>
      <xdr:rowOff>135128</xdr:rowOff>
    </xdr:to>
    <xdr:sp macro="" textlink="">
      <xdr:nvSpPr>
        <xdr:cNvPr id="1617" name="diag_82">
          <a:extLst>
            <a:ext uri="{FF2B5EF4-FFF2-40B4-BE49-F238E27FC236}">
              <a16:creationId xmlns:a16="http://schemas.microsoft.com/office/drawing/2014/main" id="{FAA26F94-8CE6-6328-94D7-A287C1B81F8E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720725</xdr:colOff>
      <xdr:row>26</xdr:row>
      <xdr:rowOff>94361</xdr:rowOff>
    </xdr:from>
    <xdr:to>
      <xdr:col>8</xdr:col>
      <xdr:colOff>379942</xdr:colOff>
      <xdr:row>27</xdr:row>
      <xdr:rowOff>135128</xdr:rowOff>
    </xdr:to>
    <xdr:sp macro="" textlink="">
      <xdr:nvSpPr>
        <xdr:cNvPr id="1618" name="diag_83">
          <a:extLst>
            <a:ext uri="{FF2B5EF4-FFF2-40B4-BE49-F238E27FC236}">
              <a16:creationId xmlns:a16="http://schemas.microsoft.com/office/drawing/2014/main" id="{0A0278D9-9120-1643-01DE-7F6EF1268169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26</xdr:row>
      <xdr:rowOff>94361</xdr:rowOff>
    </xdr:from>
    <xdr:to>
      <xdr:col>10</xdr:col>
      <xdr:colOff>39158</xdr:colOff>
      <xdr:row>27</xdr:row>
      <xdr:rowOff>135128</xdr:rowOff>
    </xdr:to>
    <xdr:sp macro="" textlink="">
      <xdr:nvSpPr>
        <xdr:cNvPr id="1619" name="diag_84">
          <a:extLst>
            <a:ext uri="{FF2B5EF4-FFF2-40B4-BE49-F238E27FC236}">
              <a16:creationId xmlns:a16="http://schemas.microsoft.com/office/drawing/2014/main" id="{4D7B818F-DED2-F576-B190-CF7F645B3E29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26</xdr:row>
      <xdr:rowOff>94361</xdr:rowOff>
    </xdr:from>
    <xdr:to>
      <xdr:col>11</xdr:col>
      <xdr:colOff>727075</xdr:colOff>
      <xdr:row>27</xdr:row>
      <xdr:rowOff>135128</xdr:rowOff>
    </xdr:to>
    <xdr:sp macro="" textlink="">
      <xdr:nvSpPr>
        <xdr:cNvPr id="1620" name="diag_85">
          <a:extLst>
            <a:ext uri="{FF2B5EF4-FFF2-40B4-BE49-F238E27FC236}">
              <a16:creationId xmlns:a16="http://schemas.microsoft.com/office/drawing/2014/main" id="{13ADD763-5676-DEF8-BB7B-EE578BD8137D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160528</xdr:rowOff>
    </xdr:from>
    <xdr:to>
      <xdr:col>0</xdr:col>
      <xdr:colOff>355600</xdr:colOff>
      <xdr:row>28</xdr:row>
      <xdr:rowOff>201295</xdr:rowOff>
    </xdr:to>
    <xdr:sp macro="" textlink="">
      <xdr:nvSpPr>
        <xdr:cNvPr id="1621" name="diag_86">
          <a:extLst>
            <a:ext uri="{FF2B5EF4-FFF2-40B4-BE49-F238E27FC236}">
              <a16:creationId xmlns:a16="http://schemas.microsoft.com/office/drawing/2014/main" id="{29B6628E-B14D-F451-2E8A-AC5A8EB70E94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160528</xdr:rowOff>
    </xdr:from>
    <xdr:to>
      <xdr:col>11</xdr:col>
      <xdr:colOff>727075</xdr:colOff>
      <xdr:row>28</xdr:row>
      <xdr:rowOff>201295</xdr:rowOff>
    </xdr:to>
    <xdr:sp macro="" textlink="">
      <xdr:nvSpPr>
        <xdr:cNvPr id="1622" name="diag_87">
          <a:extLst>
            <a:ext uri="{FF2B5EF4-FFF2-40B4-BE49-F238E27FC236}">
              <a16:creationId xmlns:a16="http://schemas.microsoft.com/office/drawing/2014/main" id="{759971AE-C9C8-1B6D-5F2D-4BEA55D301CF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160528</xdr:rowOff>
    </xdr:from>
    <xdr:to>
      <xdr:col>2</xdr:col>
      <xdr:colOff>381000</xdr:colOff>
      <xdr:row>28</xdr:row>
      <xdr:rowOff>201295</xdr:rowOff>
    </xdr:to>
    <xdr:sp macro="" textlink="">
      <xdr:nvSpPr>
        <xdr:cNvPr id="1623" name="diag_88">
          <a:extLst>
            <a:ext uri="{FF2B5EF4-FFF2-40B4-BE49-F238E27FC236}">
              <a16:creationId xmlns:a16="http://schemas.microsoft.com/office/drawing/2014/main" id="{3ED7A9FD-DC28-339C-32DB-AE63E6A914E2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160528</xdr:rowOff>
    </xdr:from>
    <xdr:to>
      <xdr:col>4</xdr:col>
      <xdr:colOff>40217</xdr:colOff>
      <xdr:row>28</xdr:row>
      <xdr:rowOff>201295</xdr:rowOff>
    </xdr:to>
    <xdr:sp macro="" textlink="">
      <xdr:nvSpPr>
        <xdr:cNvPr id="1624" name="diag_89">
          <a:extLst>
            <a:ext uri="{FF2B5EF4-FFF2-40B4-BE49-F238E27FC236}">
              <a16:creationId xmlns:a16="http://schemas.microsoft.com/office/drawing/2014/main" id="{49F39B63-96FC-A777-1052-8BFD419C31F2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40217</xdr:colOff>
      <xdr:row>27</xdr:row>
      <xdr:rowOff>160528</xdr:rowOff>
    </xdr:from>
    <xdr:to>
      <xdr:col>5</xdr:col>
      <xdr:colOff>309033</xdr:colOff>
      <xdr:row>28</xdr:row>
      <xdr:rowOff>201295</xdr:rowOff>
    </xdr:to>
    <xdr:sp macro="" textlink="">
      <xdr:nvSpPr>
        <xdr:cNvPr id="1625" name="diag_90">
          <a:extLst>
            <a:ext uri="{FF2B5EF4-FFF2-40B4-BE49-F238E27FC236}">
              <a16:creationId xmlns:a16="http://schemas.microsoft.com/office/drawing/2014/main" id="{99366A63-1D41-537C-EE86-936D817D8778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160528</xdr:rowOff>
    </xdr:from>
    <xdr:to>
      <xdr:col>6</xdr:col>
      <xdr:colOff>720725</xdr:colOff>
      <xdr:row>28</xdr:row>
      <xdr:rowOff>201295</xdr:rowOff>
    </xdr:to>
    <xdr:sp macro="" textlink="">
      <xdr:nvSpPr>
        <xdr:cNvPr id="1626" name="diag_91">
          <a:extLst>
            <a:ext uri="{FF2B5EF4-FFF2-40B4-BE49-F238E27FC236}">
              <a16:creationId xmlns:a16="http://schemas.microsoft.com/office/drawing/2014/main" id="{20E417BB-85C1-6751-AA21-882DA1361CB8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720725</xdr:colOff>
      <xdr:row>27</xdr:row>
      <xdr:rowOff>160528</xdr:rowOff>
    </xdr:from>
    <xdr:to>
      <xdr:col>8</xdr:col>
      <xdr:colOff>379942</xdr:colOff>
      <xdr:row>28</xdr:row>
      <xdr:rowOff>201295</xdr:rowOff>
    </xdr:to>
    <xdr:sp macro="" textlink="">
      <xdr:nvSpPr>
        <xdr:cNvPr id="1627" name="diag_92">
          <a:extLst>
            <a:ext uri="{FF2B5EF4-FFF2-40B4-BE49-F238E27FC236}">
              <a16:creationId xmlns:a16="http://schemas.microsoft.com/office/drawing/2014/main" id="{8F1646BC-FF6B-3C92-58C4-1F55E357FEBF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27</xdr:row>
      <xdr:rowOff>160528</xdr:rowOff>
    </xdr:from>
    <xdr:to>
      <xdr:col>10</xdr:col>
      <xdr:colOff>39158</xdr:colOff>
      <xdr:row>28</xdr:row>
      <xdr:rowOff>201295</xdr:rowOff>
    </xdr:to>
    <xdr:sp macro="" textlink="">
      <xdr:nvSpPr>
        <xdr:cNvPr id="1628" name="diag_93">
          <a:extLst>
            <a:ext uri="{FF2B5EF4-FFF2-40B4-BE49-F238E27FC236}">
              <a16:creationId xmlns:a16="http://schemas.microsoft.com/office/drawing/2014/main" id="{3B970423-8859-3161-B387-52AF0611092F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27</xdr:row>
      <xdr:rowOff>160528</xdr:rowOff>
    </xdr:from>
    <xdr:to>
      <xdr:col>11</xdr:col>
      <xdr:colOff>727075</xdr:colOff>
      <xdr:row>28</xdr:row>
      <xdr:rowOff>201295</xdr:rowOff>
    </xdr:to>
    <xdr:sp macro="" textlink="">
      <xdr:nvSpPr>
        <xdr:cNvPr id="1629" name="diag_94">
          <a:extLst>
            <a:ext uri="{FF2B5EF4-FFF2-40B4-BE49-F238E27FC236}">
              <a16:creationId xmlns:a16="http://schemas.microsoft.com/office/drawing/2014/main" id="{6B6E98A4-9157-BA81-0C7D-A59B3613FA2C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28</xdr:row>
      <xdr:rowOff>226695</xdr:rowOff>
    </xdr:from>
    <xdr:to>
      <xdr:col>3</xdr:col>
      <xdr:colOff>9525</xdr:colOff>
      <xdr:row>29</xdr:row>
      <xdr:rowOff>179070</xdr:rowOff>
    </xdr:to>
    <xdr:sp macro="" textlink="">
      <xdr:nvSpPr>
        <xdr:cNvPr id="1630" name="pick_1">
          <a:extLst>
            <a:ext uri="{FF2B5EF4-FFF2-40B4-BE49-F238E27FC236}">
              <a16:creationId xmlns:a16="http://schemas.microsoft.com/office/drawing/2014/main" id="{5D1C42CB-92CD-FF21-E70F-57BBA869074D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29</xdr:row>
      <xdr:rowOff>179070</xdr:rowOff>
    </xdr:from>
    <xdr:to>
      <xdr:col>0</xdr:col>
      <xdr:colOff>279400</xdr:colOff>
      <xdr:row>30</xdr:row>
      <xdr:rowOff>163195</xdr:rowOff>
    </xdr:to>
    <xdr:sp macro="" textlink="">
      <xdr:nvSpPr>
        <xdr:cNvPr id="1631" name="pick_2">
          <a:extLst>
            <a:ext uri="{FF2B5EF4-FFF2-40B4-BE49-F238E27FC236}">
              <a16:creationId xmlns:a16="http://schemas.microsoft.com/office/drawing/2014/main" id="{5BD9C2CF-9E94-253F-032F-CE72F6A9C6FA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29</xdr:row>
      <xdr:rowOff>179070</xdr:rowOff>
    </xdr:from>
    <xdr:to>
      <xdr:col>1</xdr:col>
      <xdr:colOff>244475</xdr:colOff>
      <xdr:row>30</xdr:row>
      <xdr:rowOff>163195</xdr:rowOff>
    </xdr:to>
    <xdr:sp macro="" textlink="">
      <xdr:nvSpPr>
        <xdr:cNvPr id="1632" name="pick_3">
          <a:extLst>
            <a:ext uri="{FF2B5EF4-FFF2-40B4-BE49-F238E27FC236}">
              <a16:creationId xmlns:a16="http://schemas.microsoft.com/office/drawing/2014/main" id="{6B71BBCC-2306-7A68-E2B4-586A327F82C7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244475</xdr:colOff>
      <xdr:row>29</xdr:row>
      <xdr:rowOff>179070</xdr:rowOff>
    </xdr:from>
    <xdr:to>
      <xdr:col>1</xdr:col>
      <xdr:colOff>676275</xdr:colOff>
      <xdr:row>30</xdr:row>
      <xdr:rowOff>163195</xdr:rowOff>
    </xdr:to>
    <xdr:sp macro="" textlink="">
      <xdr:nvSpPr>
        <xdr:cNvPr id="1633" name="pick_4">
          <a:extLst>
            <a:ext uri="{FF2B5EF4-FFF2-40B4-BE49-F238E27FC236}">
              <a16:creationId xmlns:a16="http://schemas.microsoft.com/office/drawing/2014/main" id="{BC96AE55-2C0D-6D4C-E989-E9E6A7BCEFF6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676275</xdr:colOff>
      <xdr:row>29</xdr:row>
      <xdr:rowOff>179070</xdr:rowOff>
    </xdr:from>
    <xdr:to>
      <xdr:col>2</xdr:col>
      <xdr:colOff>254000</xdr:colOff>
      <xdr:row>30</xdr:row>
      <xdr:rowOff>163195</xdr:rowOff>
    </xdr:to>
    <xdr:sp macro="" textlink="">
      <xdr:nvSpPr>
        <xdr:cNvPr id="1634" name="pick_5">
          <a:extLst>
            <a:ext uri="{FF2B5EF4-FFF2-40B4-BE49-F238E27FC236}">
              <a16:creationId xmlns:a16="http://schemas.microsoft.com/office/drawing/2014/main" id="{21FD56B6-AB77-55D4-F1FD-A050C1F79DCE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29</xdr:row>
      <xdr:rowOff>179070</xdr:rowOff>
    </xdr:from>
    <xdr:to>
      <xdr:col>3</xdr:col>
      <xdr:colOff>9525</xdr:colOff>
      <xdr:row>30</xdr:row>
      <xdr:rowOff>163195</xdr:rowOff>
    </xdr:to>
    <xdr:sp macro="" textlink="">
      <xdr:nvSpPr>
        <xdr:cNvPr id="1635" name="pick_6">
          <a:extLst>
            <a:ext uri="{FF2B5EF4-FFF2-40B4-BE49-F238E27FC236}">
              <a16:creationId xmlns:a16="http://schemas.microsoft.com/office/drawing/2014/main" id="{E7E6E51F-7F21-07F6-F586-DE85D896729A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163195</xdr:rowOff>
    </xdr:from>
    <xdr:to>
      <xdr:col>0</xdr:col>
      <xdr:colOff>279400</xdr:colOff>
      <xdr:row>31</xdr:row>
      <xdr:rowOff>147320</xdr:rowOff>
    </xdr:to>
    <xdr:sp macro="" textlink="">
      <xdr:nvSpPr>
        <xdr:cNvPr id="1636" name="pick_7">
          <a:extLst>
            <a:ext uri="{FF2B5EF4-FFF2-40B4-BE49-F238E27FC236}">
              <a16:creationId xmlns:a16="http://schemas.microsoft.com/office/drawing/2014/main" id="{652275C6-EF28-7FE9-CDCF-1BBE732A1BBC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163195</xdr:rowOff>
    </xdr:from>
    <xdr:to>
      <xdr:col>1</xdr:col>
      <xdr:colOff>244475</xdr:colOff>
      <xdr:row>31</xdr:row>
      <xdr:rowOff>147320</xdr:rowOff>
    </xdr:to>
    <xdr:sp macro="" textlink="">
      <xdr:nvSpPr>
        <xdr:cNvPr id="1637" name="pick_8">
          <a:extLst>
            <a:ext uri="{FF2B5EF4-FFF2-40B4-BE49-F238E27FC236}">
              <a16:creationId xmlns:a16="http://schemas.microsoft.com/office/drawing/2014/main" id="{C81E8A59-7DCF-4DE7-659D-B29B31C5C614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30</xdr:row>
      <xdr:rowOff>163195</xdr:rowOff>
    </xdr:from>
    <xdr:to>
      <xdr:col>1</xdr:col>
      <xdr:colOff>676275</xdr:colOff>
      <xdr:row>31</xdr:row>
      <xdr:rowOff>147320</xdr:rowOff>
    </xdr:to>
    <xdr:sp macro="" textlink="">
      <xdr:nvSpPr>
        <xdr:cNvPr id="1638" name="pick_9">
          <a:extLst>
            <a:ext uri="{FF2B5EF4-FFF2-40B4-BE49-F238E27FC236}">
              <a16:creationId xmlns:a16="http://schemas.microsoft.com/office/drawing/2014/main" id="{D6A1F9BB-4EE2-FDE3-6B14-77035422C1FE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676275</xdr:colOff>
      <xdr:row>30</xdr:row>
      <xdr:rowOff>163195</xdr:rowOff>
    </xdr:from>
    <xdr:to>
      <xdr:col>2</xdr:col>
      <xdr:colOff>254000</xdr:colOff>
      <xdr:row>31</xdr:row>
      <xdr:rowOff>147320</xdr:rowOff>
    </xdr:to>
    <xdr:sp macro="" textlink="">
      <xdr:nvSpPr>
        <xdr:cNvPr id="1639" name="pick_10">
          <a:extLst>
            <a:ext uri="{FF2B5EF4-FFF2-40B4-BE49-F238E27FC236}">
              <a16:creationId xmlns:a16="http://schemas.microsoft.com/office/drawing/2014/main" id="{8887C7E2-A5B1-D6F6-2DA2-12EDD0BFC836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163195</xdr:rowOff>
    </xdr:from>
    <xdr:to>
      <xdr:col>3</xdr:col>
      <xdr:colOff>9525</xdr:colOff>
      <xdr:row>31</xdr:row>
      <xdr:rowOff>147320</xdr:rowOff>
    </xdr:to>
    <xdr:sp macro="" textlink="">
      <xdr:nvSpPr>
        <xdr:cNvPr id="1640" name="pick_11">
          <a:extLst>
            <a:ext uri="{FF2B5EF4-FFF2-40B4-BE49-F238E27FC236}">
              <a16:creationId xmlns:a16="http://schemas.microsoft.com/office/drawing/2014/main" id="{68588C7E-2B5F-82BF-6DB6-54D94D38FF40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147320</xdr:rowOff>
    </xdr:from>
    <xdr:to>
      <xdr:col>0</xdr:col>
      <xdr:colOff>279400</xdr:colOff>
      <xdr:row>32</xdr:row>
      <xdr:rowOff>131445</xdr:rowOff>
    </xdr:to>
    <xdr:sp macro="" textlink="">
      <xdr:nvSpPr>
        <xdr:cNvPr id="1641" name="pick_12">
          <a:extLst>
            <a:ext uri="{FF2B5EF4-FFF2-40B4-BE49-F238E27FC236}">
              <a16:creationId xmlns:a16="http://schemas.microsoft.com/office/drawing/2014/main" id="{AD24EB54-369D-8000-9A9E-05211914233A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147320</xdr:rowOff>
    </xdr:from>
    <xdr:to>
      <xdr:col>1</xdr:col>
      <xdr:colOff>244475</xdr:colOff>
      <xdr:row>32</xdr:row>
      <xdr:rowOff>131445</xdr:rowOff>
    </xdr:to>
    <xdr:sp macro="" textlink="">
      <xdr:nvSpPr>
        <xdr:cNvPr id="1642" name="pick_13">
          <a:extLst>
            <a:ext uri="{FF2B5EF4-FFF2-40B4-BE49-F238E27FC236}">
              <a16:creationId xmlns:a16="http://schemas.microsoft.com/office/drawing/2014/main" id="{18C6602B-BFEE-97DF-1304-29A96550BF53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31</xdr:row>
      <xdr:rowOff>147320</xdr:rowOff>
    </xdr:from>
    <xdr:to>
      <xdr:col>1</xdr:col>
      <xdr:colOff>676275</xdr:colOff>
      <xdr:row>32</xdr:row>
      <xdr:rowOff>131445</xdr:rowOff>
    </xdr:to>
    <xdr:sp macro="" textlink="">
      <xdr:nvSpPr>
        <xdr:cNvPr id="1643" name="pick_14">
          <a:extLst>
            <a:ext uri="{FF2B5EF4-FFF2-40B4-BE49-F238E27FC236}">
              <a16:creationId xmlns:a16="http://schemas.microsoft.com/office/drawing/2014/main" id="{18EA4686-B5B6-2032-AFC9-CAF0DA7379E5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676275</xdr:colOff>
      <xdr:row>31</xdr:row>
      <xdr:rowOff>147320</xdr:rowOff>
    </xdr:from>
    <xdr:to>
      <xdr:col>2</xdr:col>
      <xdr:colOff>254000</xdr:colOff>
      <xdr:row>32</xdr:row>
      <xdr:rowOff>131445</xdr:rowOff>
    </xdr:to>
    <xdr:sp macro="" textlink="">
      <xdr:nvSpPr>
        <xdr:cNvPr id="1644" name="pick_15">
          <a:extLst>
            <a:ext uri="{FF2B5EF4-FFF2-40B4-BE49-F238E27FC236}">
              <a16:creationId xmlns:a16="http://schemas.microsoft.com/office/drawing/2014/main" id="{74BB370E-EC14-6096-66AA-A18C5DA7236E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147320</xdr:rowOff>
    </xdr:from>
    <xdr:to>
      <xdr:col>3</xdr:col>
      <xdr:colOff>9525</xdr:colOff>
      <xdr:row>32</xdr:row>
      <xdr:rowOff>131445</xdr:rowOff>
    </xdr:to>
    <xdr:sp macro="" textlink="">
      <xdr:nvSpPr>
        <xdr:cNvPr id="1645" name="pick_16">
          <a:extLst>
            <a:ext uri="{FF2B5EF4-FFF2-40B4-BE49-F238E27FC236}">
              <a16:creationId xmlns:a16="http://schemas.microsoft.com/office/drawing/2014/main" id="{4533583B-0EEE-5B4D-9297-EAB2A71BE218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131445</xdr:rowOff>
    </xdr:from>
    <xdr:to>
      <xdr:col>0</xdr:col>
      <xdr:colOff>279400</xdr:colOff>
      <xdr:row>33</xdr:row>
      <xdr:rowOff>115570</xdr:rowOff>
    </xdr:to>
    <xdr:sp macro="" textlink="">
      <xdr:nvSpPr>
        <xdr:cNvPr id="1646" name="pick_17">
          <a:extLst>
            <a:ext uri="{FF2B5EF4-FFF2-40B4-BE49-F238E27FC236}">
              <a16:creationId xmlns:a16="http://schemas.microsoft.com/office/drawing/2014/main" id="{63C25BBE-2DE6-BF01-72E8-95F1FC1931D8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131445</xdr:rowOff>
    </xdr:from>
    <xdr:to>
      <xdr:col>1</xdr:col>
      <xdr:colOff>244475</xdr:colOff>
      <xdr:row>33</xdr:row>
      <xdr:rowOff>115570</xdr:rowOff>
    </xdr:to>
    <xdr:sp macro="" textlink="">
      <xdr:nvSpPr>
        <xdr:cNvPr id="1647" name="pick_18">
          <a:extLst>
            <a:ext uri="{FF2B5EF4-FFF2-40B4-BE49-F238E27FC236}">
              <a16:creationId xmlns:a16="http://schemas.microsoft.com/office/drawing/2014/main" id="{35DDBE58-5CE6-8511-6BE2-FD3C219D9988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32</xdr:row>
      <xdr:rowOff>131445</xdr:rowOff>
    </xdr:from>
    <xdr:to>
      <xdr:col>1</xdr:col>
      <xdr:colOff>676275</xdr:colOff>
      <xdr:row>33</xdr:row>
      <xdr:rowOff>115570</xdr:rowOff>
    </xdr:to>
    <xdr:sp macro="" textlink="">
      <xdr:nvSpPr>
        <xdr:cNvPr id="1648" name="pick_19">
          <a:extLst>
            <a:ext uri="{FF2B5EF4-FFF2-40B4-BE49-F238E27FC236}">
              <a16:creationId xmlns:a16="http://schemas.microsoft.com/office/drawing/2014/main" id="{F31CDE9A-C227-7753-381D-44EFCA14A40D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676275</xdr:colOff>
      <xdr:row>32</xdr:row>
      <xdr:rowOff>131445</xdr:rowOff>
    </xdr:from>
    <xdr:to>
      <xdr:col>2</xdr:col>
      <xdr:colOff>254000</xdr:colOff>
      <xdr:row>33</xdr:row>
      <xdr:rowOff>115570</xdr:rowOff>
    </xdr:to>
    <xdr:sp macro="" textlink="">
      <xdr:nvSpPr>
        <xdr:cNvPr id="1649" name="pick_20">
          <a:extLst>
            <a:ext uri="{FF2B5EF4-FFF2-40B4-BE49-F238E27FC236}">
              <a16:creationId xmlns:a16="http://schemas.microsoft.com/office/drawing/2014/main" id="{2E0C8D40-4BB0-BD51-AF19-01B7B27C09FD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131445</xdr:rowOff>
    </xdr:from>
    <xdr:to>
      <xdr:col>3</xdr:col>
      <xdr:colOff>9525</xdr:colOff>
      <xdr:row>33</xdr:row>
      <xdr:rowOff>115570</xdr:rowOff>
    </xdr:to>
    <xdr:sp macro="" textlink="">
      <xdr:nvSpPr>
        <xdr:cNvPr id="1650" name="pick_21">
          <a:extLst>
            <a:ext uri="{FF2B5EF4-FFF2-40B4-BE49-F238E27FC236}">
              <a16:creationId xmlns:a16="http://schemas.microsoft.com/office/drawing/2014/main" id="{396B3300-8220-17B3-0DBC-777FB697CD99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115570</xdr:rowOff>
    </xdr:from>
    <xdr:to>
      <xdr:col>0</xdr:col>
      <xdr:colOff>279400</xdr:colOff>
      <xdr:row>34</xdr:row>
      <xdr:rowOff>99695</xdr:rowOff>
    </xdr:to>
    <xdr:sp macro="" textlink="">
      <xdr:nvSpPr>
        <xdr:cNvPr id="1651" name="pick_22">
          <a:extLst>
            <a:ext uri="{FF2B5EF4-FFF2-40B4-BE49-F238E27FC236}">
              <a16:creationId xmlns:a16="http://schemas.microsoft.com/office/drawing/2014/main" id="{8C778A30-C4BD-16C1-57D0-9A24BFA496E5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115570</xdr:rowOff>
    </xdr:from>
    <xdr:to>
      <xdr:col>1</xdr:col>
      <xdr:colOff>244475</xdr:colOff>
      <xdr:row>34</xdr:row>
      <xdr:rowOff>99695</xdr:rowOff>
    </xdr:to>
    <xdr:sp macro="" textlink="">
      <xdr:nvSpPr>
        <xdr:cNvPr id="1652" name="pick_23">
          <a:extLst>
            <a:ext uri="{FF2B5EF4-FFF2-40B4-BE49-F238E27FC236}">
              <a16:creationId xmlns:a16="http://schemas.microsoft.com/office/drawing/2014/main" id="{DA685BD1-FE73-FBDB-EAF2-992003C80F4E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33</xdr:row>
      <xdr:rowOff>115570</xdr:rowOff>
    </xdr:from>
    <xdr:to>
      <xdr:col>1</xdr:col>
      <xdr:colOff>676275</xdr:colOff>
      <xdr:row>34</xdr:row>
      <xdr:rowOff>99695</xdr:rowOff>
    </xdr:to>
    <xdr:sp macro="" textlink="">
      <xdr:nvSpPr>
        <xdr:cNvPr id="1653" name="pick_24">
          <a:extLst>
            <a:ext uri="{FF2B5EF4-FFF2-40B4-BE49-F238E27FC236}">
              <a16:creationId xmlns:a16="http://schemas.microsoft.com/office/drawing/2014/main" id="{6C97386F-CE79-07F0-2335-4E0D42E2BA6A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676275</xdr:colOff>
      <xdr:row>33</xdr:row>
      <xdr:rowOff>115570</xdr:rowOff>
    </xdr:from>
    <xdr:to>
      <xdr:col>2</xdr:col>
      <xdr:colOff>254000</xdr:colOff>
      <xdr:row>34</xdr:row>
      <xdr:rowOff>99695</xdr:rowOff>
    </xdr:to>
    <xdr:sp macro="" textlink="">
      <xdr:nvSpPr>
        <xdr:cNvPr id="1654" name="pick_25">
          <a:extLst>
            <a:ext uri="{FF2B5EF4-FFF2-40B4-BE49-F238E27FC236}">
              <a16:creationId xmlns:a16="http://schemas.microsoft.com/office/drawing/2014/main" id="{59B0C027-4B94-472B-104D-6BDAA903FD32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115570</xdr:rowOff>
    </xdr:from>
    <xdr:to>
      <xdr:col>3</xdr:col>
      <xdr:colOff>9525</xdr:colOff>
      <xdr:row>34</xdr:row>
      <xdr:rowOff>99695</xdr:rowOff>
    </xdr:to>
    <xdr:sp macro="" textlink="">
      <xdr:nvSpPr>
        <xdr:cNvPr id="1655" name="pick_26">
          <a:extLst>
            <a:ext uri="{FF2B5EF4-FFF2-40B4-BE49-F238E27FC236}">
              <a16:creationId xmlns:a16="http://schemas.microsoft.com/office/drawing/2014/main" id="{007516E2-A0B9-B91B-959B-FEC87409E6A3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99695</xdr:rowOff>
    </xdr:from>
    <xdr:to>
      <xdr:col>0</xdr:col>
      <xdr:colOff>279400</xdr:colOff>
      <xdr:row>35</xdr:row>
      <xdr:rowOff>83820</xdr:rowOff>
    </xdr:to>
    <xdr:sp macro="" textlink="">
      <xdr:nvSpPr>
        <xdr:cNvPr id="1656" name="pick_27">
          <a:extLst>
            <a:ext uri="{FF2B5EF4-FFF2-40B4-BE49-F238E27FC236}">
              <a16:creationId xmlns:a16="http://schemas.microsoft.com/office/drawing/2014/main" id="{3EE90A05-0855-A415-EC1F-5458E033C2D3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99695</xdr:rowOff>
    </xdr:from>
    <xdr:to>
      <xdr:col>1</xdr:col>
      <xdr:colOff>244475</xdr:colOff>
      <xdr:row>35</xdr:row>
      <xdr:rowOff>83820</xdr:rowOff>
    </xdr:to>
    <xdr:sp macro="" textlink="">
      <xdr:nvSpPr>
        <xdr:cNvPr id="1657" name="pick_28">
          <a:extLst>
            <a:ext uri="{FF2B5EF4-FFF2-40B4-BE49-F238E27FC236}">
              <a16:creationId xmlns:a16="http://schemas.microsoft.com/office/drawing/2014/main" id="{88E1023C-9E3D-C1B3-41FE-8F2D6DDFF26A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34</xdr:row>
      <xdr:rowOff>99695</xdr:rowOff>
    </xdr:from>
    <xdr:to>
      <xdr:col>1</xdr:col>
      <xdr:colOff>676275</xdr:colOff>
      <xdr:row>35</xdr:row>
      <xdr:rowOff>83820</xdr:rowOff>
    </xdr:to>
    <xdr:sp macro="" textlink="">
      <xdr:nvSpPr>
        <xdr:cNvPr id="1658" name="pick_29">
          <a:extLst>
            <a:ext uri="{FF2B5EF4-FFF2-40B4-BE49-F238E27FC236}">
              <a16:creationId xmlns:a16="http://schemas.microsoft.com/office/drawing/2014/main" id="{A2EEBA9D-D8DF-0D23-BB0B-652C5A3B46DD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676275</xdr:colOff>
      <xdr:row>34</xdr:row>
      <xdr:rowOff>99695</xdr:rowOff>
    </xdr:from>
    <xdr:to>
      <xdr:col>2</xdr:col>
      <xdr:colOff>254000</xdr:colOff>
      <xdr:row>35</xdr:row>
      <xdr:rowOff>83820</xdr:rowOff>
    </xdr:to>
    <xdr:sp macro="" textlink="">
      <xdr:nvSpPr>
        <xdr:cNvPr id="1659" name="pick_30">
          <a:extLst>
            <a:ext uri="{FF2B5EF4-FFF2-40B4-BE49-F238E27FC236}">
              <a16:creationId xmlns:a16="http://schemas.microsoft.com/office/drawing/2014/main" id="{4827A221-3637-7E09-142A-8F98B8E7E12F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99695</xdr:rowOff>
    </xdr:from>
    <xdr:to>
      <xdr:col>3</xdr:col>
      <xdr:colOff>9525</xdr:colOff>
      <xdr:row>35</xdr:row>
      <xdr:rowOff>83820</xdr:rowOff>
    </xdr:to>
    <xdr:sp macro="" textlink="">
      <xdr:nvSpPr>
        <xdr:cNvPr id="1660" name="pick_31">
          <a:extLst>
            <a:ext uri="{FF2B5EF4-FFF2-40B4-BE49-F238E27FC236}">
              <a16:creationId xmlns:a16="http://schemas.microsoft.com/office/drawing/2014/main" id="{CA9C509B-AF8D-12B4-41E2-CBE51409AA14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tabSelected="1" zoomScaleNormal="100" workbookViewId="0">
      <selection sqref="A1:N47"/>
    </sheetView>
  </sheetViews>
  <sheetFormatPr defaultColWidth="8.6640625" defaultRowHeight="14.4" x14ac:dyDescent="0.3"/>
  <cols>
    <col min="1" max="1" width="7.77734375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97" t="s">
        <v>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</row>
    <row r="2" spans="1:14" x14ac:dyDescent="0.3">
      <c r="A2" s="98" t="s">
        <v>1</v>
      </c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</row>
    <row r="4" spans="1:14" x14ac:dyDescent="0.3">
      <c r="A4" s="99" t="s">
        <v>2</v>
      </c>
      <c r="B4" s="99"/>
      <c r="C4" s="99"/>
      <c r="E4" s="100" t="s">
        <v>417</v>
      </c>
      <c r="F4" s="101"/>
      <c r="G4" s="101"/>
      <c r="H4" s="102"/>
    </row>
    <row r="5" spans="1:14" x14ac:dyDescent="0.3">
      <c r="A5" s="2" t="s">
        <v>493</v>
      </c>
      <c r="C5" s="3" t="s">
        <v>494</v>
      </c>
      <c r="E5" s="103" t="s">
        <v>418</v>
      </c>
      <c r="F5" s="104"/>
      <c r="G5" s="105" t="s">
        <v>17</v>
      </c>
      <c r="H5" s="106"/>
    </row>
    <row r="6" spans="1:14" x14ac:dyDescent="0.3">
      <c r="A6" s="4" t="s">
        <v>3</v>
      </c>
      <c r="C6" s="36">
        <v>72</v>
      </c>
      <c r="E6" s="103" t="s">
        <v>419</v>
      </c>
      <c r="F6" s="104"/>
      <c r="G6" s="105">
        <v>2</v>
      </c>
      <c r="H6" s="106"/>
    </row>
    <row r="7" spans="1:14" x14ac:dyDescent="0.3">
      <c r="A7" s="35" t="s">
        <v>415</v>
      </c>
      <c r="C7" s="37" t="s">
        <v>416</v>
      </c>
      <c r="E7" s="107" t="s">
        <v>420</v>
      </c>
      <c r="F7" s="108"/>
      <c r="G7" s="108"/>
      <c r="H7" s="109"/>
    </row>
    <row r="8" spans="1:14" x14ac:dyDescent="0.3">
      <c r="A8" s="99" t="s">
        <v>4</v>
      </c>
      <c r="B8" s="99"/>
      <c r="C8" s="99"/>
      <c r="D8" s="99"/>
      <c r="E8" s="99"/>
      <c r="F8" s="99"/>
      <c r="G8" s="99"/>
      <c r="H8" s="99"/>
    </row>
    <row r="9" spans="1:14" x14ac:dyDescent="0.3">
      <c r="A9" s="95" t="s">
        <v>495</v>
      </c>
      <c r="B9" s="5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J9" s="99" t="s">
        <v>13</v>
      </c>
      <c r="K9" s="99"/>
      <c r="L9" s="99"/>
      <c r="M9" s="99"/>
    </row>
    <row r="10" spans="1:14" x14ac:dyDescent="0.3">
      <c r="A10" s="6"/>
      <c r="B10" s="38" t="s">
        <v>17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10" t="s">
        <v>16</v>
      </c>
      <c r="K10" s="110"/>
      <c r="L10" s="111">
        <f>F30</f>
        <v>720</v>
      </c>
      <c r="M10" s="111"/>
    </row>
    <row r="11" spans="1:14" x14ac:dyDescent="0.3">
      <c r="A11" s="6"/>
      <c r="B11" s="38" t="s">
        <v>17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10" t="s">
        <v>18</v>
      </c>
      <c r="K11" s="110"/>
      <c r="L11" s="111" t="e">
        <f>C5*C6</f>
        <v>#VALUE!</v>
      </c>
      <c r="M11" s="111"/>
    </row>
    <row r="12" spans="1:14" x14ac:dyDescent="0.3">
      <c r="A12" s="6"/>
      <c r="B12" s="38" t="s">
        <v>17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10" t="s">
        <v>19</v>
      </c>
      <c r="K12" s="110"/>
      <c r="L12" s="111" t="e">
        <f>F30-C5*C6</f>
        <v>#VALUE!</v>
      </c>
      <c r="M12" s="111"/>
    </row>
    <row r="13" spans="1:14" x14ac:dyDescent="0.3">
      <c r="A13" s="6"/>
      <c r="B13" s="38" t="s">
        <v>17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10" t="s">
        <v>22</v>
      </c>
      <c r="K13" s="110"/>
      <c r="L13" s="111">
        <f>IF(F30=0,0,ROUNDUP(F30/C6,0))</f>
        <v>10</v>
      </c>
      <c r="M13" s="111"/>
    </row>
    <row r="14" spans="1:14" x14ac:dyDescent="0.3">
      <c r="A14" s="6"/>
      <c r="B14" s="38" t="s">
        <v>17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10" t="s">
        <v>24</v>
      </c>
      <c r="K14" s="110"/>
      <c r="L14" s="111">
        <f>COUNTIF($L$34:$L$47,"OK 72")</f>
        <v>10</v>
      </c>
      <c r="M14" s="111"/>
    </row>
    <row r="15" spans="1:14" x14ac:dyDescent="0.3">
      <c r="A15" s="6"/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10" t="s">
        <v>25</v>
      </c>
      <c r="K15" s="110"/>
      <c r="L15" s="111">
        <f>COUNTA($B$34:$J$47)</f>
        <v>58</v>
      </c>
      <c r="M15" s="111"/>
    </row>
    <row r="16" spans="1:14" x14ac:dyDescent="0.3">
      <c r="A16" s="6"/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10" t="s">
        <v>26</v>
      </c>
      <c r="K16" s="110"/>
      <c r="L16" s="111">
        <f>E30-COUNTA($B$34:$J$47)</f>
        <v>0</v>
      </c>
      <c r="M16" s="111"/>
    </row>
    <row r="17" spans="1:13" x14ac:dyDescent="0.3">
      <c r="A17" s="6"/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12" t="s">
        <v>27</v>
      </c>
      <c r="K17" s="112"/>
      <c r="L17" s="113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INCOMPLETE — keep filling</v>
      </c>
      <c r="M17" s="113"/>
    </row>
    <row r="18" spans="1:13" x14ac:dyDescent="0.3">
      <c r="A18" s="6"/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/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/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/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/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/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/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/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/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/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/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/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113" t="s">
        <v>28</v>
      </c>
      <c r="B30" s="113"/>
      <c r="C30" s="113"/>
      <c r="D30" s="113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99" t="s">
        <v>29</v>
      </c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</row>
    <row r="33" spans="1:12" x14ac:dyDescent="0.3">
      <c r="A33" s="5" t="s">
        <v>30</v>
      </c>
      <c r="B33" s="5" t="s">
        <v>31</v>
      </c>
      <c r="C33" s="5" t="s">
        <v>32</v>
      </c>
      <c r="D33" s="5" t="s">
        <v>33</v>
      </c>
      <c r="E33" s="5" t="s">
        <v>34</v>
      </c>
      <c r="F33" s="5" t="s">
        <v>35</v>
      </c>
      <c r="G33" s="5" t="s">
        <v>36</v>
      </c>
      <c r="H33" s="5" t="s">
        <v>37</v>
      </c>
      <c r="I33" s="5" t="s">
        <v>38</v>
      </c>
      <c r="J33" s="5" t="s">
        <v>39</v>
      </c>
      <c r="K33" s="5" t="s">
        <v>40</v>
      </c>
      <c r="L33" s="5" t="s">
        <v>41</v>
      </c>
    </row>
    <row r="34" spans="1:12" x14ac:dyDescent="0.3">
      <c r="A34" s="10" t="s">
        <v>42</v>
      </c>
      <c r="B34" s="11" t="s">
        <v>46</v>
      </c>
      <c r="C34" s="11" t="s">
        <v>46</v>
      </c>
      <c r="D34" s="11" t="s">
        <v>46</v>
      </c>
      <c r="E34" s="11" t="s">
        <v>46</v>
      </c>
      <c r="F34" s="11" t="s">
        <v>411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44</v>
      </c>
      <c r="B35" s="11" t="s">
        <v>46</v>
      </c>
      <c r="C35" s="11" t="s">
        <v>46</v>
      </c>
      <c r="D35" s="11" t="s">
        <v>46</v>
      </c>
      <c r="E35" s="11" t="s">
        <v>46</v>
      </c>
      <c r="F35" s="11" t="s">
        <v>411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45</v>
      </c>
      <c r="B36" s="11" t="s">
        <v>46</v>
      </c>
      <c r="C36" s="11" t="s">
        <v>46</v>
      </c>
      <c r="D36" s="11" t="s">
        <v>46</v>
      </c>
      <c r="E36" s="11" t="s">
        <v>46</v>
      </c>
      <c r="F36" s="11" t="s">
        <v>411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47</v>
      </c>
      <c r="B37" s="11" t="s">
        <v>46</v>
      </c>
      <c r="C37" s="11" t="s">
        <v>46</v>
      </c>
      <c r="D37" s="11" t="s">
        <v>46</v>
      </c>
      <c r="E37" s="11" t="s">
        <v>412</v>
      </c>
      <c r="F37" s="11" t="s">
        <v>412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48</v>
      </c>
      <c r="B38" s="11" t="s">
        <v>43</v>
      </c>
      <c r="C38" s="11" t="s">
        <v>43</v>
      </c>
      <c r="D38" s="11" t="s">
        <v>43</v>
      </c>
      <c r="E38" s="11" t="s">
        <v>43</v>
      </c>
      <c r="F38" s="11" t="s">
        <v>411</v>
      </c>
      <c r="G38" s="11" t="s">
        <v>411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49</v>
      </c>
      <c r="B39" s="11" t="s">
        <v>43</v>
      </c>
      <c r="C39" s="11" t="s">
        <v>43</v>
      </c>
      <c r="D39" s="11" t="s">
        <v>43</v>
      </c>
      <c r="E39" s="11" t="s">
        <v>43</v>
      </c>
      <c r="F39" s="11" t="s">
        <v>411</v>
      </c>
      <c r="G39" s="11" t="s">
        <v>411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50</v>
      </c>
      <c r="B40" s="11" t="s">
        <v>43</v>
      </c>
      <c r="C40" s="11" t="s">
        <v>43</v>
      </c>
      <c r="D40" s="11" t="s">
        <v>43</v>
      </c>
      <c r="E40" s="11" t="s">
        <v>413</v>
      </c>
      <c r="F40" s="11" t="s">
        <v>413</v>
      </c>
      <c r="G40" s="11" t="s">
        <v>413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51</v>
      </c>
      <c r="B41" s="11" t="s">
        <v>412</v>
      </c>
      <c r="C41" s="11" t="s">
        <v>412</v>
      </c>
      <c r="D41" s="11" t="s">
        <v>412</v>
      </c>
      <c r="E41" s="11" t="s">
        <v>412</v>
      </c>
      <c r="F41" s="11" t="s">
        <v>412</v>
      </c>
      <c r="G41" s="11" t="s">
        <v>412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52</v>
      </c>
      <c r="B42" s="11" t="s">
        <v>412</v>
      </c>
      <c r="C42" s="11" t="s">
        <v>413</v>
      </c>
      <c r="D42" s="11" t="s">
        <v>413</v>
      </c>
      <c r="E42" s="11" t="s">
        <v>413</v>
      </c>
      <c r="F42" s="11" t="s">
        <v>413</v>
      </c>
      <c r="G42" s="11" t="s">
        <v>413</v>
      </c>
      <c r="H42" s="11" t="s">
        <v>413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53</v>
      </c>
      <c r="B43" s="11" t="s">
        <v>412</v>
      </c>
      <c r="C43" s="11" t="s">
        <v>413</v>
      </c>
      <c r="D43" s="11" t="s">
        <v>413</v>
      </c>
      <c r="E43" s="11" t="s">
        <v>413</v>
      </c>
      <c r="F43" s="11" t="s">
        <v>413</v>
      </c>
      <c r="G43" s="11" t="s">
        <v>413</v>
      </c>
      <c r="H43" s="11" t="s">
        <v>413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54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empty</v>
      </c>
    </row>
    <row r="45" spans="1:12" x14ac:dyDescent="0.3">
      <c r="A45" s="10" t="s">
        <v>55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empty</v>
      </c>
    </row>
    <row r="46" spans="1:12" x14ac:dyDescent="0.3">
      <c r="A46" s="10" t="s">
        <v>56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empty</v>
      </c>
    </row>
    <row r="47" spans="1:12" x14ac:dyDescent="0.3">
      <c r="A47" s="10" t="s">
        <v>57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empty</v>
      </c>
    </row>
    <row r="49" spans="1:13" x14ac:dyDescent="0.3">
      <c r="A49" s="12" t="s">
        <v>58</v>
      </c>
      <c r="B49" s="46" t="s">
        <v>59</v>
      </c>
      <c r="C49" s="47" t="s">
        <v>60</v>
      </c>
      <c r="D49" s="48" t="s">
        <v>61</v>
      </c>
      <c r="E49" s="49" t="s">
        <v>62</v>
      </c>
      <c r="F49" s="50" t="s">
        <v>63</v>
      </c>
      <c r="G49" s="51" t="s">
        <v>64</v>
      </c>
      <c r="H49" s="52" t="s">
        <v>65</v>
      </c>
    </row>
    <row r="50" spans="1:13" x14ac:dyDescent="0.3">
      <c r="A50" s="12" t="s">
        <v>66</v>
      </c>
      <c r="B50" s="73" t="s">
        <v>14</v>
      </c>
      <c r="C50" s="74" t="s">
        <v>17</v>
      </c>
      <c r="D50" s="75" t="s">
        <v>20</v>
      </c>
      <c r="E50" s="76" t="s">
        <v>67</v>
      </c>
      <c r="F50" s="77" t="s">
        <v>68</v>
      </c>
      <c r="G50" s="78" t="s">
        <v>69</v>
      </c>
      <c r="H50" s="79" t="s">
        <v>70</v>
      </c>
    </row>
    <row r="51" spans="1:13" x14ac:dyDescent="0.3">
      <c r="A51" s="12" t="s">
        <v>71</v>
      </c>
      <c r="B51" s="80" t="s">
        <v>23</v>
      </c>
      <c r="C51" s="81" t="s">
        <v>15</v>
      </c>
      <c r="D51" s="82" t="s">
        <v>72</v>
      </c>
      <c r="E51" s="83" t="s">
        <v>73</v>
      </c>
      <c r="F51" s="84" t="s">
        <v>74</v>
      </c>
      <c r="G51" s="85" t="s">
        <v>21</v>
      </c>
    </row>
    <row r="52" spans="1:13" x14ac:dyDescent="0.3">
      <c r="A52" s="98" t="s">
        <v>75</v>
      </c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6" t="s">
        <v>496</v>
      </c>
    </row>
  </sheetData>
  <mergeCells count="30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</mergeCells>
  <conditionalFormatting sqref="B34:J47">
    <cfRule type="expression" dxfId="28" priority="2">
      <formula>AND(B34&lt;&gt;"",IFERROR(MID(B34,FIND("-",B34)+1,FIND("-",B34,FIND("-",B34)+1)-FIND("-",B34)-1),"")="8")</formula>
    </cfRule>
    <cfRule type="expression" dxfId="27" priority="3">
      <formula>AND(B34&lt;&gt;"",IFERROR(MID(B34,FIND("-",B34)+1,FIND("-",B34,FIND("-",B34)+1)-FIND("-",B34)-1),"")="10")</formula>
    </cfRule>
    <cfRule type="expression" dxfId="26" priority="4">
      <formula>AND(B34&lt;&gt;"",IFERROR(MID(B34,FIND("-",B34)+1,FIND("-",B34,FIND("-",B34)+1)-FIND("-",B34)-1),"")="12")</formula>
    </cfRule>
    <cfRule type="expression" dxfId="25" priority="5">
      <formula>AND(B34&lt;&gt;"",IFERROR(MID(B34,FIND("-",B34)+1,FIND("-",B34,FIND("-",B34)+1)-FIND("-",B34)-1),"")="14")</formula>
    </cfRule>
    <cfRule type="expression" dxfId="24" priority="6">
      <formula>AND(B34&lt;&gt;"",IFERROR(MID(B34,FIND("-",B34)+1,FIND("-",B34,FIND("-",B34)+1)-FIND("-",B34)-1),"")="16")</formula>
    </cfRule>
    <cfRule type="expression" dxfId="23" priority="7">
      <formula>AND(B34&lt;&gt;"",IFERROR(MID(B34,FIND("-",B34)+1,FIND("-",B34,FIND("-",B34)+1)-FIND("-",B34)-1),"")="18")</formula>
    </cfRule>
    <cfRule type="expression" dxfId="22" priority="8">
      <formula>AND(B34&lt;&gt;"",IFERROR(MID(B34,FIND("-",B34)+1,FIND("-",B34,FIND("-",B34)+1)-FIND("-",B34)-1),"")="20")</formula>
    </cfRule>
    <cfRule type="expression" dxfId="21" priority="9">
      <formula>AND(B34&lt;&gt;"",IFERROR(LEFT(B34,FIND("-",B34)-1),"")="2x4")</formula>
    </cfRule>
    <cfRule type="expression" dxfId="20" priority="10">
      <formula>AND(B34&lt;&gt;"",IFERROR(LEFT(B34,FIND("-",B34)-1),"")="2x6")</formula>
    </cfRule>
    <cfRule type="expression" dxfId="19" priority="11">
      <formula>AND(B34&lt;&gt;"",IFERROR(LEFT(B34,FIND("-",B34)-1),"")="2x8")</formula>
    </cfRule>
    <cfRule type="expression" dxfId="18" priority="12">
      <formula>AND(B34&lt;&gt;"",IFERROR(LEFT(B34,FIND("-",B34)-1),"")="2x10")</formula>
    </cfRule>
    <cfRule type="expression" dxfId="17" priority="13">
      <formula>AND(B34&lt;&gt;"",IFERROR(LEFT(B34,FIND("-",B34)-1),"")="4x4")</formula>
    </cfRule>
    <cfRule type="expression" dxfId="16" priority="14">
      <formula>AND(B34&lt;&gt;"",IFERROR(LEFT(B34,FIND("-",B34)-1),"")="4x6")</formula>
    </cfRule>
    <cfRule type="expression" dxfId="15" priority="15">
      <formula>AND(B34&lt;&gt;"",IFERROR(LEFT(B34,FIND("-",B34)-1),"")="6x6")</formula>
    </cfRule>
    <cfRule type="expression" dxfId="14" priority="16">
      <formula>AND(B34&lt;&gt;"",IFERROR(MID(B34,FIND("-",B34,FIND("-",B34)+1)+1,9),"")="1")</formula>
    </cfRule>
    <cfRule type="expression" dxfId="13" priority="17">
      <formula>AND(B34&lt;&gt;"",IFERROR(MID(B34,FIND("-",B34,FIND("-",B34)+1)+1,9),"")="2")</formula>
    </cfRule>
    <cfRule type="expression" dxfId="12" priority="18">
      <formula>AND(B34&lt;&gt;"",IFERROR(MID(B34,FIND("-",B34,FIND("-",B34)+1)+1,9),"")="3")</formula>
    </cfRule>
    <cfRule type="expression" dxfId="11" priority="19">
      <formula>AND(B34&lt;&gt;"",IFERROR(MID(B34,FIND("-",B34,FIND("-",B34)+1)+1,9),"")="4")</formula>
    </cfRule>
    <cfRule type="expression" dxfId="10" priority="20">
      <formula>AND(B34&lt;&gt;"",IFERROR(MID(B34,FIND("-",B34,FIND("-",B34)+1)+1,9),"")="2P")</formula>
    </cfRule>
    <cfRule type="expression" dxfId="9" priority="21">
      <formula>AND(B34&lt;&gt;"",IFERROR(MID(B34,FIND("-",B34,FIND("-",B34)+1)+1,9),"")="MSR")</formula>
    </cfRule>
    <cfRule type="expression" dxfId="8" priority="22">
      <formula>ROW()-33&gt;$C$5</formula>
    </cfRule>
  </conditionalFormatting>
  <conditionalFormatting sqref="H10:H29">
    <cfRule type="cellIs" dxfId="7" priority="27" operator="lessThan">
      <formula>0</formula>
    </cfRule>
  </conditionalFormatting>
  <conditionalFormatting sqref="L34:L47">
    <cfRule type="expression" dxfId="6" priority="23">
      <formula>LEFT(L34,2)="OK"</formula>
    </cfRule>
    <cfRule type="expression" dxfId="5" priority="24">
      <formula>LEFT(L34,4)="OVER"</formula>
    </cfRule>
    <cfRule type="expression" dxfId="4" priority="25">
      <formula>LEFT(L34,5)="SHORT"</formula>
    </cfRule>
    <cfRule type="expression" dxfId="3" priority="26">
      <formula>L34="— unused —"</formula>
    </cfRule>
  </conditionalFormatting>
  <conditionalFormatting sqref="A10:A29">
    <cfRule type="cellIs" dxfId="2" priority="28" stopIfTrue="1" operator="equal">
      <formula>"7-row"</formula>
    </cfRule>
    <cfRule type="cellIs" dxfId="1" priority="29" stopIfTrue="1" operator="equal">
      <formula>"5-row"</formula>
    </cfRule>
  </conditionalFormatting>
  <dataValidations count="6"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  <dataValidation type="list" allowBlank="1" showInputMessage="1" showErrorMessage="1" sqref="C5" xr:uid="{88089325-F11F-4595-A81B-23A3FAD7D9D4}">
      <formula1>"5+5,7+5,7+7"</formula1>
    </dataValidation>
    <dataValidation type="list" allowBlank="1" showInputMessage="1" showErrorMessage="1" sqref="A10:A29" xr:uid="{0E794AFE-F588-4955-A6DD-56CEBB1E9D4A}">
      <formula1>"7-row,5-row"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6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  <col min="13" max="13" width="9.77734375" customWidth="1"/>
    <col min="14" max="14" width="17.77734375" customWidth="1"/>
  </cols>
  <sheetData>
    <row r="1" spans="1:14" ht="19.2" x14ac:dyDescent="0.35">
      <c r="A1" s="114" t="s">
        <v>76</v>
      </c>
      <c r="B1" s="114"/>
      <c r="C1" s="114"/>
      <c r="D1" s="114"/>
      <c r="E1" s="114"/>
      <c r="F1" s="114"/>
    </row>
    <row r="2" spans="1:14" x14ac:dyDescent="0.3">
      <c r="A2" s="98" t="s">
        <v>77</v>
      </c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86" t="s">
        <v>491</v>
      </c>
      <c r="N2" s="94" t="s">
        <v>492</v>
      </c>
    </row>
    <row r="4" spans="1:14" x14ac:dyDescent="0.3">
      <c r="A4" s="2" t="s">
        <v>78</v>
      </c>
      <c r="B4" t="s">
        <v>79</v>
      </c>
    </row>
    <row r="5" spans="1:14" x14ac:dyDescent="0.3">
      <c r="A5" s="2" t="s">
        <v>80</v>
      </c>
      <c r="B5" t="str">
        <f>Planner!C5</f>
        <v>5+5</v>
      </c>
    </row>
    <row r="6" spans="1:14" x14ac:dyDescent="0.3">
      <c r="A6" s="2" t="s">
        <v>16</v>
      </c>
      <c r="B6">
        <f>Planner!F30</f>
        <v>720</v>
      </c>
    </row>
    <row r="7" spans="1:14" x14ac:dyDescent="0.3">
      <c r="A7" s="2" t="s">
        <v>81</v>
      </c>
      <c r="B7" s="20">
        <f ca="1">TODAY()</f>
        <v>46191</v>
      </c>
    </row>
    <row r="8" spans="1:14" x14ac:dyDescent="0.3">
      <c r="A8" s="2" t="s">
        <v>82</v>
      </c>
      <c r="B8" s="21" t="s">
        <v>414</v>
      </c>
    </row>
    <row r="10" spans="1:14" x14ac:dyDescent="0.3">
      <c r="A10" s="12" t="s">
        <v>58</v>
      </c>
      <c r="B10" s="87" t="s">
        <v>59</v>
      </c>
      <c r="C10" s="88" t="s">
        <v>60</v>
      </c>
      <c r="D10" s="89" t="s">
        <v>61</v>
      </c>
      <c r="E10" s="90" t="s">
        <v>62</v>
      </c>
      <c r="F10" s="91" t="s">
        <v>63</v>
      </c>
      <c r="G10" s="92" t="s">
        <v>64</v>
      </c>
      <c r="H10" s="93" t="s">
        <v>65</v>
      </c>
    </row>
    <row r="11" spans="1:14" x14ac:dyDescent="0.3">
      <c r="A11" s="12" t="s">
        <v>66</v>
      </c>
      <c r="B11" s="13" t="s">
        <v>14</v>
      </c>
      <c r="C11" s="14" t="s">
        <v>17</v>
      </c>
      <c r="D11" s="15" t="s">
        <v>20</v>
      </c>
      <c r="E11" s="16" t="s">
        <v>67</v>
      </c>
      <c r="F11" s="17" t="s">
        <v>68</v>
      </c>
      <c r="G11" s="18" t="s">
        <v>69</v>
      </c>
      <c r="H11" s="19" t="s">
        <v>70</v>
      </c>
    </row>
    <row r="12" spans="1:14" x14ac:dyDescent="0.3">
      <c r="A12" s="12" t="s">
        <v>83</v>
      </c>
      <c r="B12" s="53" t="s">
        <v>23</v>
      </c>
      <c r="C12" s="54" t="s">
        <v>15</v>
      </c>
      <c r="D12" s="55" t="s">
        <v>72</v>
      </c>
      <c r="E12" s="56" t="s">
        <v>73</v>
      </c>
      <c r="F12" s="57" t="s">
        <v>74</v>
      </c>
      <c r="G12" s="58" t="s">
        <v>21</v>
      </c>
    </row>
    <row r="13" spans="1:14" x14ac:dyDescent="0.3">
      <c r="A13" s="99" t="s">
        <v>490</v>
      </c>
      <c r="B13" s="99"/>
      <c r="C13" s="99"/>
      <c r="D13" s="99"/>
      <c r="E13" s="99"/>
      <c r="F13" s="99"/>
      <c r="G13" s="99"/>
      <c r="H13" s="99"/>
      <c r="I13" s="99"/>
      <c r="J13" s="99"/>
      <c r="K13" s="99"/>
      <c r="L13" s="99"/>
    </row>
    <row r="14" spans="1:14" ht="19.05" customHeight="1" x14ac:dyDescent="0.3"/>
    <row r="15" spans="1:14" ht="19.05" customHeight="1" x14ac:dyDescent="0.3"/>
    <row r="16" spans="1:14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99" t="s">
        <v>88</v>
      </c>
      <c r="B46" s="99"/>
      <c r="C46" s="99"/>
      <c r="D46" s="99"/>
      <c r="E46" s="99"/>
      <c r="F46" s="99"/>
      <c r="G46" s="99"/>
      <c r="H46" s="99"/>
    </row>
    <row r="47" spans="1:8" x14ac:dyDescent="0.3">
      <c r="A47" s="5" t="s">
        <v>89</v>
      </c>
      <c r="B47" s="28" t="s">
        <v>23</v>
      </c>
      <c r="C47" s="29" t="s">
        <v>15</v>
      </c>
      <c r="D47" s="30" t="s">
        <v>72</v>
      </c>
      <c r="E47" s="31" t="s">
        <v>73</v>
      </c>
      <c r="F47" s="32" t="s">
        <v>74</v>
      </c>
      <c r="G47" s="33" t="s">
        <v>21</v>
      </c>
      <c r="H47" s="5" t="s">
        <v>40</v>
      </c>
    </row>
    <row r="48" spans="1:8" x14ac:dyDescent="0.3">
      <c r="A48" s="59" t="s">
        <v>14</v>
      </c>
      <c r="B48" s="8">
        <f>SUMIFS(Planner!$G$10:$G$29,Planner!$B$10:$B$29,"2x4",Planner!$D$10:$D$29,"1")</f>
        <v>0</v>
      </c>
      <c r="C48" s="8">
        <f>SUMIFS(Planner!$G$10:$G$29,Planner!$B$10:$B$29,"2x4",Planner!$D$10:$D$29,"2")</f>
        <v>0</v>
      </c>
      <c r="D48" s="8">
        <f>SUMIFS(Planner!$G$10:$G$29,Planner!$B$10:$B$29,"2x4",Planner!$D$10:$D$29,"3")</f>
        <v>0</v>
      </c>
      <c r="E48" s="8">
        <f>SUMIFS(Planner!$G$10:$G$29,Planner!$B$10:$B$29,"2x4",Planner!$D$10:$D$29,"4")</f>
        <v>0</v>
      </c>
      <c r="F48" s="8">
        <f>SUMIFS(Planner!$G$10:$G$29,Planner!$B$10:$B$29,"2x4",Planner!$D$10:$D$29,"2P")</f>
        <v>0</v>
      </c>
      <c r="G48" s="8">
        <f>SUMIFS(Planner!$G$10:$G$29,Planner!$B$10:$B$29,"2x4",Planner!$D$10:$D$29,"MSR")</f>
        <v>0</v>
      </c>
      <c r="H48" s="1">
        <f t="shared" ref="H48:H54" si="0">SUM(B48:G48)</f>
        <v>0</v>
      </c>
    </row>
    <row r="49" spans="1:8" x14ac:dyDescent="0.3">
      <c r="A49" s="60" t="s">
        <v>17</v>
      </c>
      <c r="B49" s="8">
        <f>SUMIFS(Planner!$G$10:$G$29,Planner!$B$10:$B$29,"2x6",Planner!$D$10:$D$29,"1")</f>
        <v>0</v>
      </c>
      <c r="C49" s="8">
        <f>SUMIFS(Planner!$G$10:$G$29,Planner!$B$10:$B$29,"2x6",Planner!$D$10:$D$29,"2")</f>
        <v>58</v>
      </c>
      <c r="D49" s="8">
        <f>SUMIFS(Planner!$G$10:$G$29,Planner!$B$10:$B$29,"2x6",Planner!$D$10:$D$29,"3")</f>
        <v>0</v>
      </c>
      <c r="E49" s="8">
        <f>SUMIFS(Planner!$G$10:$G$29,Planner!$B$10:$B$29,"2x6",Planner!$D$10:$D$29,"4")</f>
        <v>0</v>
      </c>
      <c r="F49" s="8">
        <f>SUMIFS(Planner!$G$10:$G$29,Planner!$B$10:$B$29,"2x6",Planner!$D$10:$D$29,"2P")</f>
        <v>0</v>
      </c>
      <c r="G49" s="8">
        <f>SUMIFS(Planner!$G$10:$G$29,Planner!$B$10:$B$29,"2x6",Planner!$D$10:$D$29,"MSR")</f>
        <v>0</v>
      </c>
      <c r="H49" s="1">
        <f t="shared" si="0"/>
        <v>58</v>
      </c>
    </row>
    <row r="50" spans="1:8" x14ac:dyDescent="0.3">
      <c r="A50" s="61" t="s">
        <v>20</v>
      </c>
      <c r="B50" s="8">
        <f>SUMIFS(Planner!$G$10:$G$29,Planner!$B$10:$B$29,"2x8",Planner!$D$10:$D$29,"1")</f>
        <v>0</v>
      </c>
      <c r="C50" s="8">
        <f>SUMIFS(Planner!$G$10:$G$29,Planner!$B$10:$B$29,"2x8",Planner!$D$10:$D$29,"2")</f>
        <v>0</v>
      </c>
      <c r="D50" s="8">
        <f>SUMIFS(Planner!$G$10:$G$29,Planner!$B$10:$B$29,"2x8",Planner!$D$10:$D$29,"3")</f>
        <v>0</v>
      </c>
      <c r="E50" s="8">
        <f>SUMIFS(Planner!$G$10:$G$29,Planner!$B$10:$B$29,"2x8",Planner!$D$10:$D$29,"4")</f>
        <v>0</v>
      </c>
      <c r="F50" s="8">
        <f>SUMIFS(Planner!$G$10:$G$29,Planner!$B$10:$B$29,"2x8",Planner!$D$10:$D$29,"2P")</f>
        <v>0</v>
      </c>
      <c r="G50" s="8">
        <f>SUMIFS(Planner!$G$10:$G$29,Planner!$B$10:$B$29,"2x8",Planner!$D$10:$D$29,"MSR")</f>
        <v>0</v>
      </c>
      <c r="H50" s="1">
        <f t="shared" si="0"/>
        <v>0</v>
      </c>
    </row>
    <row r="51" spans="1:8" x14ac:dyDescent="0.3">
      <c r="A51" s="62" t="s">
        <v>67</v>
      </c>
      <c r="B51" s="8">
        <f>SUMIFS(Planner!$G$10:$G$29,Planner!$B$10:$B$29,"2x10",Planner!$D$10:$D$29,"1")</f>
        <v>0</v>
      </c>
      <c r="C51" s="8">
        <f>SUMIFS(Planner!$G$10:$G$29,Planner!$B$10:$B$29,"2x10",Planner!$D$10:$D$29,"2")</f>
        <v>0</v>
      </c>
      <c r="D51" s="8">
        <f>SUMIFS(Planner!$G$10:$G$29,Planner!$B$10:$B$29,"2x10",Planner!$D$10:$D$29,"3")</f>
        <v>0</v>
      </c>
      <c r="E51" s="8">
        <f>SUMIFS(Planner!$G$10:$G$29,Planner!$B$10:$B$29,"2x10",Planner!$D$10:$D$29,"4")</f>
        <v>0</v>
      </c>
      <c r="F51" s="8">
        <f>SUMIFS(Planner!$G$10:$G$29,Planner!$B$10:$B$29,"2x10",Planner!$D$10:$D$29,"2P")</f>
        <v>0</v>
      </c>
      <c r="G51" s="8">
        <f>SUMIFS(Planner!$G$10:$G$29,Planner!$B$10:$B$29,"2x10",Planner!$D$10:$D$29,"MSR")</f>
        <v>0</v>
      </c>
      <c r="H51" s="1">
        <f t="shared" si="0"/>
        <v>0</v>
      </c>
    </row>
    <row r="52" spans="1:8" x14ac:dyDescent="0.3">
      <c r="A52" s="63" t="s">
        <v>68</v>
      </c>
      <c r="B52" s="8">
        <f>SUMIFS(Planner!$G$10:$G$29,Planner!$B$10:$B$29,"4x4",Planner!$D$10:$D$29,"1")</f>
        <v>0</v>
      </c>
      <c r="C52" s="8">
        <f>SUMIFS(Planner!$G$10:$G$29,Planner!$B$10:$B$29,"4x4",Planner!$D$10:$D$29,"2")</f>
        <v>0</v>
      </c>
      <c r="D52" s="8">
        <f>SUMIFS(Planner!$G$10:$G$29,Planner!$B$10:$B$29,"4x4",Planner!$D$10:$D$29,"3")</f>
        <v>0</v>
      </c>
      <c r="E52" s="8">
        <f>SUMIFS(Planner!$G$10:$G$29,Planner!$B$10:$B$29,"4x4",Planner!$D$10:$D$29,"4")</f>
        <v>0</v>
      </c>
      <c r="F52" s="8">
        <f>SUMIFS(Planner!$G$10:$G$29,Planner!$B$10:$B$29,"4x4",Planner!$D$10:$D$29,"2P")</f>
        <v>0</v>
      </c>
      <c r="G52" s="8">
        <f>SUMIFS(Planner!$G$10:$G$29,Planner!$B$10:$B$29,"4x4",Planner!$D$10:$D$29,"MSR")</f>
        <v>0</v>
      </c>
      <c r="H52" s="1">
        <f t="shared" si="0"/>
        <v>0</v>
      </c>
    </row>
    <row r="53" spans="1:8" x14ac:dyDescent="0.3">
      <c r="A53" s="64" t="s">
        <v>69</v>
      </c>
      <c r="B53" s="8">
        <f>SUMIFS(Planner!$G$10:$G$29,Planner!$B$10:$B$29,"4x6",Planner!$D$10:$D$29,"1")</f>
        <v>0</v>
      </c>
      <c r="C53" s="8">
        <f>SUMIFS(Planner!$G$10:$G$29,Planner!$B$10:$B$29,"4x6",Planner!$D$10:$D$29,"2")</f>
        <v>0</v>
      </c>
      <c r="D53" s="8">
        <f>SUMIFS(Planner!$G$10:$G$29,Planner!$B$10:$B$29,"4x6",Planner!$D$10:$D$29,"3")</f>
        <v>0</v>
      </c>
      <c r="E53" s="8">
        <f>SUMIFS(Planner!$G$10:$G$29,Planner!$B$10:$B$29,"4x6",Planner!$D$10:$D$29,"4")</f>
        <v>0</v>
      </c>
      <c r="F53" s="8">
        <f>SUMIFS(Planner!$G$10:$G$29,Planner!$B$10:$B$29,"4x6",Planner!$D$10:$D$29,"2P")</f>
        <v>0</v>
      </c>
      <c r="G53" s="8">
        <f>SUMIFS(Planner!$G$10:$G$29,Planner!$B$10:$B$29,"4x6",Planner!$D$10:$D$29,"MSR")</f>
        <v>0</v>
      </c>
      <c r="H53" s="1">
        <f t="shared" si="0"/>
        <v>0</v>
      </c>
    </row>
    <row r="54" spans="1:8" x14ac:dyDescent="0.3">
      <c r="A54" s="65" t="s">
        <v>70</v>
      </c>
      <c r="B54" s="8">
        <f>SUMIFS(Planner!$G$10:$G$29,Planner!$B$10:$B$29,"6x6",Planner!$D$10:$D$29,"1")</f>
        <v>0</v>
      </c>
      <c r="C54" s="8">
        <f>SUMIFS(Planner!$G$10:$G$29,Planner!$B$10:$B$29,"6x6",Planner!$D$10:$D$29,"2")</f>
        <v>0</v>
      </c>
      <c r="D54" s="8">
        <f>SUMIFS(Planner!$G$10:$G$29,Planner!$B$10:$B$29,"6x6",Planner!$D$10:$D$29,"3")</f>
        <v>0</v>
      </c>
      <c r="E54" s="8">
        <f>SUMIFS(Planner!$G$10:$G$29,Planner!$B$10:$B$29,"6x6",Planner!$D$10:$D$29,"4")</f>
        <v>0</v>
      </c>
      <c r="F54" s="8">
        <f>SUMIFS(Planner!$G$10:$G$29,Planner!$B$10:$B$29,"6x6",Planner!$D$10:$D$29,"2P")</f>
        <v>0</v>
      </c>
      <c r="G54" s="8">
        <f>SUMIFS(Planner!$G$10:$G$29,Planner!$B$10:$B$29,"6x6",Planner!$D$10:$D$29,"MSR")</f>
        <v>0</v>
      </c>
      <c r="H54" s="1">
        <f t="shared" si="0"/>
        <v>0</v>
      </c>
    </row>
    <row r="55" spans="1:8" x14ac:dyDescent="0.3">
      <c r="A55" s="99" t="s">
        <v>84</v>
      </c>
      <c r="B55" s="99"/>
      <c r="C55" s="99"/>
      <c r="E55" s="99" t="s">
        <v>85</v>
      </c>
      <c r="F55" s="99"/>
      <c r="G55" s="99"/>
    </row>
    <row r="56" spans="1:8" x14ac:dyDescent="0.3">
      <c r="A56" s="5" t="s">
        <v>6</v>
      </c>
      <c r="B56" s="5" t="s">
        <v>86</v>
      </c>
      <c r="C56" s="5" t="s">
        <v>87</v>
      </c>
      <c r="E56" s="5" t="s">
        <v>8</v>
      </c>
      <c r="F56" s="5" t="s">
        <v>86</v>
      </c>
      <c r="G56" s="5" t="s">
        <v>87</v>
      </c>
    </row>
    <row r="57" spans="1:8" x14ac:dyDescent="0.3">
      <c r="A57" s="59" t="s">
        <v>14</v>
      </c>
      <c r="B57" s="8">
        <f>SUMIF(Planner!$B$10:$B$29,"2x4",Planner!$G$10:$G$29)</f>
        <v>0</v>
      </c>
      <c r="C57" s="8">
        <f>SUMIF(Planner!$B$10:$B$29,"2x4",Planner!$I$10:$I$29)</f>
        <v>0</v>
      </c>
      <c r="E57" s="22" t="s">
        <v>23</v>
      </c>
      <c r="F57" s="8">
        <f>SUMIF(Planner!$D$10:$D$29,"1",Planner!$G$10:$G$29)</f>
        <v>0</v>
      </c>
      <c r="G57" s="8">
        <f>SUMIF(Planner!$D$10:$D$29,"1",Planner!$I$10:$I$29)</f>
        <v>0</v>
      </c>
    </row>
    <row r="58" spans="1:8" x14ac:dyDescent="0.3">
      <c r="A58" s="60" t="s">
        <v>17</v>
      </c>
      <c r="B58" s="8">
        <f>SUMIF(Planner!$B$10:$B$29,"2x6",Planner!$G$10:$G$29)</f>
        <v>58</v>
      </c>
      <c r="C58" s="8">
        <f>SUMIF(Planner!$B$10:$B$29,"2x6",Planner!$I$10:$I$29)</f>
        <v>720</v>
      </c>
      <c r="E58" s="23" t="s">
        <v>15</v>
      </c>
      <c r="F58" s="8">
        <f>SUMIF(Planner!$D$10:$D$29,"2",Planner!$G$10:$G$29)</f>
        <v>58</v>
      </c>
      <c r="G58" s="8">
        <f>SUMIF(Planner!$D$10:$D$29,"2",Planner!$I$10:$I$29)</f>
        <v>720</v>
      </c>
    </row>
    <row r="59" spans="1:8" x14ac:dyDescent="0.3">
      <c r="A59" s="61" t="s">
        <v>20</v>
      </c>
      <c r="B59" s="8">
        <f>SUMIF(Planner!$B$10:$B$29,"2x8",Planner!$G$10:$G$29)</f>
        <v>0</v>
      </c>
      <c r="C59" s="8">
        <f>SUMIF(Planner!$B$10:$B$29,"2x8",Planner!$I$10:$I$29)</f>
        <v>0</v>
      </c>
      <c r="E59" s="24" t="s">
        <v>72</v>
      </c>
      <c r="F59" s="8">
        <f>SUMIF(Planner!$D$10:$D$29,"3",Planner!$G$10:$G$29)</f>
        <v>0</v>
      </c>
      <c r="G59" s="8">
        <f>SUMIF(Planner!$D$10:$D$29,"3",Planner!$I$10:$I$29)</f>
        <v>0</v>
      </c>
    </row>
    <row r="60" spans="1:8" x14ac:dyDescent="0.3">
      <c r="A60" s="62" t="s">
        <v>67</v>
      </c>
      <c r="B60" s="8">
        <f>SUMIF(Planner!$B$10:$B$29,"2x10",Planner!$G$10:$G$29)</f>
        <v>0</v>
      </c>
      <c r="C60" s="8">
        <f>SUMIF(Planner!$B$10:$B$29,"2x10",Planner!$I$10:$I$29)</f>
        <v>0</v>
      </c>
      <c r="E60" s="25" t="s">
        <v>73</v>
      </c>
      <c r="F60" s="8">
        <f>SUMIF(Planner!$D$10:$D$29,"4",Planner!$G$10:$G$29)</f>
        <v>0</v>
      </c>
      <c r="G60" s="8">
        <f>SUMIF(Planner!$D$10:$D$29,"4",Planner!$I$10:$I$29)</f>
        <v>0</v>
      </c>
    </row>
    <row r="61" spans="1:8" x14ac:dyDescent="0.3">
      <c r="A61" s="63" t="s">
        <v>68</v>
      </c>
      <c r="B61" s="8">
        <f>SUMIF(Planner!$B$10:$B$29,"4x4",Planner!$G$10:$G$29)</f>
        <v>0</v>
      </c>
      <c r="C61" s="8">
        <f>SUMIF(Planner!$B$10:$B$29,"4x4",Planner!$I$10:$I$29)</f>
        <v>0</v>
      </c>
      <c r="E61" s="26" t="s">
        <v>74</v>
      </c>
      <c r="F61" s="8">
        <f>SUMIF(Planner!$D$10:$D$29,"2P",Planner!$G$10:$G$29)</f>
        <v>0</v>
      </c>
      <c r="G61" s="8">
        <f>SUMIF(Planner!$D$10:$D$29,"2P",Planner!$I$10:$I$29)</f>
        <v>0</v>
      </c>
    </row>
    <row r="62" spans="1:8" x14ac:dyDescent="0.3">
      <c r="A62" s="64" t="s">
        <v>69</v>
      </c>
      <c r="B62" s="8">
        <f>SUMIF(Planner!$B$10:$B$29,"4x6",Planner!$G$10:$G$29)</f>
        <v>0</v>
      </c>
      <c r="C62" s="8">
        <f>SUMIF(Planner!$B$10:$B$29,"4x6",Planner!$I$10:$I$29)</f>
        <v>0</v>
      </c>
      <c r="E62" s="27" t="s">
        <v>21</v>
      </c>
      <c r="F62" s="8">
        <f>SUMIF(Planner!$D$10:$D$29,"MSR",Planner!$G$10:$G$29)</f>
        <v>0</v>
      </c>
      <c r="G62" s="8">
        <f>SUMIF(Planner!$D$10:$D$29,"MSR",Planner!$I$10:$I$29)</f>
        <v>0</v>
      </c>
    </row>
    <row r="63" spans="1:8" x14ac:dyDescent="0.3">
      <c r="A63" s="65" t="s">
        <v>70</v>
      </c>
      <c r="B63" s="8">
        <f>SUMIF(Planner!$B$10:$B$29,"6x6",Planner!$G$10:$G$29)</f>
        <v>0</v>
      </c>
      <c r="C63" s="8">
        <f>SUMIF(Planner!$B$10:$B$29,"6x6",Planner!$I$10:$I$29)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dataValidations count="1">
    <dataValidation type="list" allowBlank="1" showInputMessage="1" showErrorMessage="1" sqref="N2" xr:uid="{0A71AF08-42BA-4E19-AD5F-7C50B7FB63F0}">
      <formula1>"Color,High contrast,B &amp; W (print)"</formula1>
    </dataValidation>
  </dataValidation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421</v>
      </c>
    </row>
    <row r="2" spans="2:2" x14ac:dyDescent="0.3">
      <c r="B2" s="41" t="s">
        <v>422</v>
      </c>
    </row>
    <row r="3" spans="2:2" ht="6" customHeight="1" x14ac:dyDescent="0.3">
      <c r="B3" s="39"/>
    </row>
    <row r="4" spans="2:2" ht="15.6" x14ac:dyDescent="0.3">
      <c r="B4" s="42" t="s">
        <v>423</v>
      </c>
    </row>
    <row r="5" spans="2:2" ht="27.6" x14ac:dyDescent="0.3">
      <c r="B5" s="43" t="s">
        <v>424</v>
      </c>
    </row>
    <row r="6" spans="2:2" x14ac:dyDescent="0.3">
      <c r="B6" s="43" t="s">
        <v>425</v>
      </c>
    </row>
    <row r="7" spans="2:2" ht="27.6" x14ac:dyDescent="0.3">
      <c r="B7" s="43" t="s">
        <v>426</v>
      </c>
    </row>
    <row r="8" spans="2:2" x14ac:dyDescent="0.3">
      <c r="B8" s="43" t="s">
        <v>427</v>
      </c>
    </row>
    <row r="9" spans="2:2" ht="6" customHeight="1" x14ac:dyDescent="0.3">
      <c r="B9" s="39"/>
    </row>
    <row r="10" spans="2:2" ht="15.6" x14ac:dyDescent="0.3">
      <c r="B10" s="42" t="s">
        <v>428</v>
      </c>
    </row>
    <row r="11" spans="2:2" ht="27.6" x14ac:dyDescent="0.3">
      <c r="B11" s="43" t="s">
        <v>429</v>
      </c>
    </row>
    <row r="12" spans="2:2" x14ac:dyDescent="0.3">
      <c r="B12" s="43" t="s">
        <v>430</v>
      </c>
    </row>
    <row r="13" spans="2:2" x14ac:dyDescent="0.3">
      <c r="B13" s="43" t="s">
        <v>431</v>
      </c>
    </row>
    <row r="14" spans="2:2" x14ac:dyDescent="0.3">
      <c r="B14" s="43" t="s">
        <v>432</v>
      </c>
    </row>
    <row r="15" spans="2:2" x14ac:dyDescent="0.3">
      <c r="B15" s="43" t="s">
        <v>433</v>
      </c>
    </row>
    <row r="16" spans="2:2" ht="6" customHeight="1" x14ac:dyDescent="0.3">
      <c r="B16" s="39"/>
    </row>
    <row r="17" spans="2:2" ht="15.6" x14ac:dyDescent="0.3">
      <c r="B17" s="42" t="s">
        <v>434</v>
      </c>
    </row>
    <row r="18" spans="2:2" x14ac:dyDescent="0.3">
      <c r="B18" s="44" t="s">
        <v>435</v>
      </c>
    </row>
    <row r="19" spans="2:2" x14ac:dyDescent="0.3">
      <c r="B19" s="43" t="s">
        <v>436</v>
      </c>
    </row>
    <row r="20" spans="2:2" x14ac:dyDescent="0.3">
      <c r="B20" s="43" t="s">
        <v>437</v>
      </c>
    </row>
    <row r="21" spans="2:2" x14ac:dyDescent="0.3">
      <c r="B21" s="43" t="s">
        <v>438</v>
      </c>
    </row>
    <row r="22" spans="2:2" x14ac:dyDescent="0.3">
      <c r="B22" s="44" t="s">
        <v>439</v>
      </c>
    </row>
    <row r="23" spans="2:2" x14ac:dyDescent="0.3">
      <c r="B23" s="43" t="s">
        <v>440</v>
      </c>
    </row>
    <row r="24" spans="2:2" x14ac:dyDescent="0.3">
      <c r="B24" s="43" t="s">
        <v>441</v>
      </c>
    </row>
    <row r="25" spans="2:2" x14ac:dyDescent="0.3">
      <c r="B25" s="45" t="s">
        <v>442</v>
      </c>
    </row>
    <row r="26" spans="2:2" x14ac:dyDescent="0.3">
      <c r="B26" s="44" t="s">
        <v>443</v>
      </c>
    </row>
    <row r="27" spans="2:2" x14ac:dyDescent="0.3">
      <c r="B27" s="43" t="s">
        <v>444</v>
      </c>
    </row>
    <row r="28" spans="2:2" x14ac:dyDescent="0.3">
      <c r="B28" s="43" t="s">
        <v>445</v>
      </c>
    </row>
    <row r="29" spans="2:2" x14ac:dyDescent="0.3">
      <c r="B29" s="43" t="s">
        <v>446</v>
      </c>
    </row>
    <row r="30" spans="2:2" x14ac:dyDescent="0.3">
      <c r="B30" s="43" t="s">
        <v>447</v>
      </c>
    </row>
    <row r="31" spans="2:2" x14ac:dyDescent="0.3">
      <c r="B31" s="43" t="s">
        <v>448</v>
      </c>
    </row>
    <row r="32" spans="2:2" x14ac:dyDescent="0.3">
      <c r="B32" s="44" t="s">
        <v>449</v>
      </c>
    </row>
    <row r="33" spans="2:2" x14ac:dyDescent="0.3">
      <c r="B33" s="43" t="s">
        <v>450</v>
      </c>
    </row>
    <row r="34" spans="2:2" x14ac:dyDescent="0.3">
      <c r="B34" s="43" t="s">
        <v>451</v>
      </c>
    </row>
    <row r="35" spans="2:2" ht="27.6" x14ac:dyDescent="0.3">
      <c r="B35" s="43" t="s">
        <v>452</v>
      </c>
    </row>
    <row r="36" spans="2:2" x14ac:dyDescent="0.3">
      <c r="B36" s="44" t="s">
        <v>453</v>
      </c>
    </row>
    <row r="37" spans="2:2" x14ac:dyDescent="0.3">
      <c r="B37" s="43" t="s">
        <v>454</v>
      </c>
    </row>
    <row r="38" spans="2:2" x14ac:dyDescent="0.3">
      <c r="B38" s="43" t="s">
        <v>455</v>
      </c>
    </row>
    <row r="39" spans="2:2" x14ac:dyDescent="0.3">
      <c r="B39" s="43" t="s">
        <v>456</v>
      </c>
    </row>
    <row r="40" spans="2:2" x14ac:dyDescent="0.3">
      <c r="B40" s="43" t="s">
        <v>457</v>
      </c>
    </row>
    <row r="41" spans="2:2" ht="6" customHeight="1" x14ac:dyDescent="0.3">
      <c r="B41" s="39"/>
    </row>
    <row r="42" spans="2:2" ht="15.6" x14ac:dyDescent="0.3">
      <c r="B42" s="42" t="s">
        <v>458</v>
      </c>
    </row>
    <row r="43" spans="2:2" x14ac:dyDescent="0.3">
      <c r="B43" s="44" t="s">
        <v>459</v>
      </c>
    </row>
    <row r="44" spans="2:2" x14ac:dyDescent="0.3">
      <c r="B44" s="43" t="s">
        <v>460</v>
      </c>
    </row>
    <row r="45" spans="2:2" x14ac:dyDescent="0.3">
      <c r="B45" s="43" t="s">
        <v>461</v>
      </c>
    </row>
    <row r="46" spans="2:2" x14ac:dyDescent="0.3">
      <c r="B46" s="43" t="s">
        <v>462</v>
      </c>
    </row>
    <row r="47" spans="2:2" x14ac:dyDescent="0.3">
      <c r="B47" s="44" t="s">
        <v>463</v>
      </c>
    </row>
    <row r="48" spans="2:2" ht="27.6" x14ac:dyDescent="0.3">
      <c r="B48" s="43" t="s">
        <v>464</v>
      </c>
    </row>
    <row r="49" spans="2:2" ht="6" customHeight="1" x14ac:dyDescent="0.3">
      <c r="B49" s="39"/>
    </row>
    <row r="50" spans="2:2" ht="15.6" x14ac:dyDescent="0.3">
      <c r="B50" s="42" t="s">
        <v>465</v>
      </c>
    </row>
    <row r="51" spans="2:2" ht="27.6" x14ac:dyDescent="0.3">
      <c r="B51" s="43" t="s">
        <v>466</v>
      </c>
    </row>
    <row r="52" spans="2:2" x14ac:dyDescent="0.3">
      <c r="B52" s="43" t="s">
        <v>467</v>
      </c>
    </row>
    <row r="53" spans="2:2" x14ac:dyDescent="0.3">
      <c r="B53" s="43" t="s">
        <v>468</v>
      </c>
    </row>
    <row r="54" spans="2:2" ht="26.4" x14ac:dyDescent="0.3">
      <c r="B54" s="45" t="s">
        <v>469</v>
      </c>
    </row>
    <row r="55" spans="2:2" ht="6" customHeight="1" x14ac:dyDescent="0.3">
      <c r="B55" s="39"/>
    </row>
    <row r="56" spans="2:2" ht="15.6" x14ac:dyDescent="0.3">
      <c r="B56" s="42" t="s">
        <v>470</v>
      </c>
    </row>
    <row r="57" spans="2:2" x14ac:dyDescent="0.3">
      <c r="B57" s="43" t="s">
        <v>471</v>
      </c>
    </row>
    <row r="58" spans="2:2" x14ac:dyDescent="0.3">
      <c r="B58" s="43" t="s">
        <v>472</v>
      </c>
    </row>
    <row r="59" spans="2:2" x14ac:dyDescent="0.3">
      <c r="B59" s="43" t="s">
        <v>473</v>
      </c>
    </row>
    <row r="60" spans="2:2" ht="26.4" x14ac:dyDescent="0.3">
      <c r="B60" s="45" t="s">
        <v>474</v>
      </c>
    </row>
    <row r="61" spans="2:2" ht="6" customHeight="1" x14ac:dyDescent="0.3">
      <c r="B61" s="39"/>
    </row>
    <row r="62" spans="2:2" ht="15.6" x14ac:dyDescent="0.3">
      <c r="B62" s="42" t="s">
        <v>475</v>
      </c>
    </row>
    <row r="63" spans="2:2" ht="27.6" x14ac:dyDescent="0.3">
      <c r="B63" s="43" t="s">
        <v>476</v>
      </c>
    </row>
    <row r="64" spans="2:2" x14ac:dyDescent="0.3">
      <c r="B64" s="43" t="s">
        <v>477</v>
      </c>
    </row>
    <row r="65" spans="2:2" ht="6" customHeight="1" x14ac:dyDescent="0.3">
      <c r="B65" s="39"/>
    </row>
    <row r="66" spans="2:2" ht="15.6" x14ac:dyDescent="0.3">
      <c r="B66" s="42" t="s">
        <v>478</v>
      </c>
    </row>
    <row r="67" spans="2:2" x14ac:dyDescent="0.3">
      <c r="B67" s="43" t="s">
        <v>479</v>
      </c>
    </row>
    <row r="68" spans="2:2" ht="6" customHeight="1" x14ac:dyDescent="0.3">
      <c r="B68" s="39"/>
    </row>
    <row r="69" spans="2:2" ht="15.6" x14ac:dyDescent="0.3">
      <c r="B69" s="42" t="s">
        <v>480</v>
      </c>
    </row>
    <row r="70" spans="2:2" ht="27.6" x14ac:dyDescent="0.3">
      <c r="B70" s="43" t="s">
        <v>481</v>
      </c>
    </row>
    <row r="71" spans="2:2" ht="27.6" x14ac:dyDescent="0.3">
      <c r="B71" s="43" t="s">
        <v>482</v>
      </c>
    </row>
    <row r="72" spans="2:2" ht="27.6" x14ac:dyDescent="0.3">
      <c r="B72" s="43" t="s">
        <v>483</v>
      </c>
    </row>
    <row r="73" spans="2:2" ht="6" customHeight="1" x14ac:dyDescent="0.3">
      <c r="B73" s="39"/>
    </row>
    <row r="74" spans="2:2" ht="15.6" x14ac:dyDescent="0.3">
      <c r="B74" s="42" t="s">
        <v>484</v>
      </c>
    </row>
    <row r="75" spans="2:2" ht="27.6" x14ac:dyDescent="0.3">
      <c r="B75" s="43" t="s">
        <v>485</v>
      </c>
    </row>
    <row r="76" spans="2:2" x14ac:dyDescent="0.3">
      <c r="B76" s="43" t="s">
        <v>486</v>
      </c>
    </row>
    <row r="77" spans="2:2" x14ac:dyDescent="0.3">
      <c r="B77" s="43" t="s">
        <v>487</v>
      </c>
    </row>
    <row r="78" spans="2:2" ht="27.6" x14ac:dyDescent="0.3">
      <c r="B78" s="43" t="s">
        <v>488</v>
      </c>
    </row>
    <row r="79" spans="2:2" ht="6" customHeight="1" x14ac:dyDescent="0.3">
      <c r="B79" s="39"/>
    </row>
    <row r="80" spans="2:2" x14ac:dyDescent="0.3">
      <c r="B80" s="41" t="s">
        <v>489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4" ht="17.399999999999999" x14ac:dyDescent="0.3">
      <c r="A1" s="115" t="s">
        <v>90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N1" s="118">
        <v>0</v>
      </c>
    </row>
    <row r="2" spans="1:14" x14ac:dyDescent="0.3">
      <c r="A2" s="98" t="s">
        <v>91</v>
      </c>
      <c r="B2" s="98"/>
      <c r="C2" s="98"/>
      <c r="D2" s="98"/>
      <c r="E2" s="98"/>
      <c r="F2" s="98"/>
      <c r="G2" s="98"/>
      <c r="H2" s="98"/>
      <c r="I2" s="98"/>
      <c r="J2" s="98"/>
      <c r="K2" s="98"/>
    </row>
    <row r="4" spans="1:14" x14ac:dyDescent="0.3">
      <c r="A4" s="5" t="s">
        <v>5</v>
      </c>
      <c r="B4" s="5" t="s">
        <v>92</v>
      </c>
      <c r="C4" s="46" t="s">
        <v>59</v>
      </c>
      <c r="D4" s="47" t="s">
        <v>60</v>
      </c>
      <c r="E4" s="48" t="s">
        <v>61</v>
      </c>
      <c r="F4" s="49" t="s">
        <v>62</v>
      </c>
      <c r="G4" s="50" t="s">
        <v>63</v>
      </c>
      <c r="H4" s="51" t="s">
        <v>64</v>
      </c>
      <c r="I4" s="52" t="s">
        <v>65</v>
      </c>
      <c r="J4" s="5" t="s">
        <v>40</v>
      </c>
    </row>
    <row r="5" spans="1:14" x14ac:dyDescent="0.3">
      <c r="A5" s="8">
        <v>1</v>
      </c>
      <c r="B5" s="34" t="s">
        <v>93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4" x14ac:dyDescent="0.3">
      <c r="A6" s="8">
        <v>2</v>
      </c>
      <c r="B6" s="34" t="s">
        <v>94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4" x14ac:dyDescent="0.3">
      <c r="A7" s="8">
        <v>3</v>
      </c>
      <c r="B7" s="34" t="s">
        <v>95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4" x14ac:dyDescent="0.3">
      <c r="A8" s="8">
        <v>4</v>
      </c>
      <c r="B8" s="34" t="s">
        <v>96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4" x14ac:dyDescent="0.3">
      <c r="A9" s="8">
        <v>5</v>
      </c>
      <c r="B9" s="34" t="s">
        <v>97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4" x14ac:dyDescent="0.3">
      <c r="A10" s="8">
        <v>6</v>
      </c>
      <c r="B10" s="34" t="s">
        <v>98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4" x14ac:dyDescent="0.3">
      <c r="A11" s="8">
        <v>7</v>
      </c>
      <c r="B11" s="34" t="s">
        <v>99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4" x14ac:dyDescent="0.3">
      <c r="A12" s="8">
        <v>8</v>
      </c>
      <c r="B12" s="34" t="s">
        <v>100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4" x14ac:dyDescent="0.3">
      <c r="A13" s="8">
        <v>9</v>
      </c>
      <c r="B13" s="34" t="s">
        <v>101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4" x14ac:dyDescent="0.3">
      <c r="A14" s="8">
        <v>10</v>
      </c>
      <c r="B14" s="34" t="s">
        <v>102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4" x14ac:dyDescent="0.3">
      <c r="A15" s="8">
        <v>11</v>
      </c>
      <c r="B15" s="34" t="s">
        <v>103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4" x14ac:dyDescent="0.3">
      <c r="A16" s="8">
        <v>12</v>
      </c>
      <c r="B16" s="34" t="s">
        <v>104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105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106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107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108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109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110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111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112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113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114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115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116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117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118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119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120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121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122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123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124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125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126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127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128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129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130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131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132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133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134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135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136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137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138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139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140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141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142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143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144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145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146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147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148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149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150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151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152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153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154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155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156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157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158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159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160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161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162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163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164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165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166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167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168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169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170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171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172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173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174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175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176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177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178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179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180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181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182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183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184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185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186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187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188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189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190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191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192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193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194</v>
      </c>
      <c r="C107" s="46" t="s">
        <v>59</v>
      </c>
      <c r="D107" s="47" t="s">
        <v>60</v>
      </c>
      <c r="E107" s="48" t="s">
        <v>61</v>
      </c>
      <c r="F107" s="49" t="s">
        <v>62</v>
      </c>
      <c r="G107" s="50" t="s">
        <v>63</v>
      </c>
      <c r="H107" s="51" t="s">
        <v>64</v>
      </c>
      <c r="I107" s="52" t="s">
        <v>65</v>
      </c>
    </row>
  </sheetData>
  <mergeCells count="2">
    <mergeCell ref="A1:K1"/>
    <mergeCell ref="A2:K2"/>
  </mergeCells>
  <conditionalFormatting sqref="A5:J107">
    <cfRule type="expression" dxfId="0" priority="1" stopIfTrue="1">
      <formula>ROW()=$N$1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15" t="s">
        <v>195</v>
      </c>
      <c r="B1" s="115"/>
      <c r="C1" s="115"/>
      <c r="D1" s="115"/>
      <c r="E1" s="115"/>
      <c r="F1" s="115"/>
      <c r="G1" s="115"/>
      <c r="H1" s="115"/>
    </row>
    <row r="3" spans="1:8" x14ac:dyDescent="0.3">
      <c r="A3" s="116"/>
      <c r="B3" s="116"/>
      <c r="C3" s="116"/>
      <c r="D3" s="116"/>
      <c r="E3" s="116"/>
      <c r="F3" s="116"/>
      <c r="G3" s="116"/>
      <c r="H3" s="116"/>
    </row>
    <row r="4" spans="1:8" x14ac:dyDescent="0.3">
      <c r="A4" s="116" t="s">
        <v>196</v>
      </c>
      <c r="B4" s="116"/>
      <c r="C4" s="116"/>
      <c r="D4" s="116"/>
      <c r="E4" s="116"/>
      <c r="F4" s="116"/>
      <c r="G4" s="116"/>
      <c r="H4" s="116"/>
    </row>
    <row r="5" spans="1:8" x14ac:dyDescent="0.3">
      <c r="A5" s="116" t="s">
        <v>197</v>
      </c>
      <c r="B5" s="116"/>
      <c r="C5" s="116"/>
      <c r="D5" s="116"/>
      <c r="E5" s="116"/>
      <c r="F5" s="116"/>
      <c r="G5" s="116"/>
      <c r="H5" s="116"/>
    </row>
    <row r="6" spans="1:8" x14ac:dyDescent="0.3">
      <c r="A6" s="116" t="s">
        <v>198</v>
      </c>
      <c r="B6" s="116"/>
      <c r="C6" s="116"/>
      <c r="D6" s="116"/>
      <c r="E6" s="116"/>
      <c r="F6" s="116"/>
      <c r="G6" s="116"/>
      <c r="H6" s="116"/>
    </row>
    <row r="7" spans="1:8" x14ac:dyDescent="0.3">
      <c r="A7" s="116" t="s">
        <v>199</v>
      </c>
      <c r="B7" s="116"/>
      <c r="C7" s="116"/>
      <c r="D7" s="116"/>
      <c r="E7" s="116"/>
      <c r="F7" s="116"/>
      <c r="G7" s="116"/>
      <c r="H7" s="116"/>
    </row>
    <row r="8" spans="1:8" x14ac:dyDescent="0.3">
      <c r="A8" s="116" t="s">
        <v>200</v>
      </c>
      <c r="B8" s="116"/>
      <c r="C8" s="116"/>
      <c r="D8" s="116"/>
      <c r="E8" s="116"/>
      <c r="F8" s="116"/>
      <c r="G8" s="116"/>
      <c r="H8" s="116"/>
    </row>
    <row r="9" spans="1:8" x14ac:dyDescent="0.3">
      <c r="A9" s="116" t="s">
        <v>201</v>
      </c>
      <c r="B9" s="116"/>
      <c r="C9" s="116"/>
      <c r="D9" s="116"/>
      <c r="E9" s="116"/>
      <c r="F9" s="116"/>
      <c r="G9" s="116"/>
      <c r="H9" s="116"/>
    </row>
    <row r="10" spans="1:8" x14ac:dyDescent="0.3">
      <c r="A10" s="116"/>
      <c r="B10" s="116"/>
      <c r="C10" s="116"/>
      <c r="D10" s="116"/>
      <c r="E10" s="116"/>
      <c r="F10" s="116"/>
      <c r="G10" s="116"/>
      <c r="H10" s="116"/>
    </row>
    <row r="11" spans="1:8" x14ac:dyDescent="0.3">
      <c r="A11" s="116" t="s">
        <v>202</v>
      </c>
      <c r="B11" s="116"/>
      <c r="C11" s="116"/>
      <c r="D11" s="116"/>
      <c r="E11" s="116"/>
      <c r="F11" s="116"/>
      <c r="G11" s="116"/>
      <c r="H11" s="116"/>
    </row>
    <row r="12" spans="1:8" x14ac:dyDescent="0.3">
      <c r="A12" s="116"/>
      <c r="B12" s="116"/>
      <c r="C12" s="116"/>
      <c r="D12" s="116"/>
      <c r="E12" s="116"/>
      <c r="F12" s="116"/>
      <c r="G12" s="116"/>
      <c r="H12" s="116"/>
    </row>
    <row r="13" spans="1:8" x14ac:dyDescent="0.3">
      <c r="A13" s="110" t="s">
        <v>203</v>
      </c>
      <c r="B13" s="110"/>
      <c r="C13" s="110"/>
      <c r="D13" s="110"/>
      <c r="E13" s="110"/>
      <c r="F13" s="110"/>
      <c r="G13" s="110"/>
      <c r="H13" s="110"/>
    </row>
    <row r="15" spans="1:8" x14ac:dyDescent="0.3">
      <c r="A15" s="117" t="s">
        <v>204</v>
      </c>
      <c r="B15" s="117"/>
      <c r="C15" s="117"/>
      <c r="D15" s="117"/>
      <c r="E15" s="117"/>
      <c r="F15" s="117"/>
      <c r="G15" s="117"/>
      <c r="H15" s="117"/>
    </row>
    <row r="16" spans="1:8" x14ac:dyDescent="0.3">
      <c r="A16" s="117" t="s">
        <v>205</v>
      </c>
      <c r="B16" s="117"/>
      <c r="C16" s="117"/>
      <c r="D16" s="117"/>
      <c r="E16" s="117"/>
      <c r="F16" s="117"/>
      <c r="G16" s="117"/>
      <c r="H16" s="117"/>
    </row>
    <row r="17" spans="1:8" x14ac:dyDescent="0.3">
      <c r="A17" s="117" t="s">
        <v>206</v>
      </c>
      <c r="B17" s="117"/>
      <c r="C17" s="117"/>
      <c r="D17" s="117"/>
      <c r="E17" s="117"/>
      <c r="F17" s="117"/>
      <c r="G17" s="117"/>
      <c r="H17" s="117"/>
    </row>
    <row r="18" spans="1:8" x14ac:dyDescent="0.3">
      <c r="A18" s="117" t="s">
        <v>207</v>
      </c>
      <c r="B18" s="117"/>
      <c r="C18" s="117"/>
      <c r="D18" s="117"/>
      <c r="E18" s="117"/>
      <c r="F18" s="117"/>
      <c r="G18" s="117"/>
      <c r="H18" s="117"/>
    </row>
    <row r="19" spans="1:8" x14ac:dyDescent="0.3">
      <c r="A19" s="117" t="s">
        <v>208</v>
      </c>
      <c r="B19" s="117"/>
      <c r="C19" s="117"/>
      <c r="D19" s="117"/>
      <c r="E19" s="117"/>
      <c r="F19" s="117"/>
      <c r="G19" s="117"/>
      <c r="H19" s="117"/>
    </row>
    <row r="20" spans="1:8" x14ac:dyDescent="0.3">
      <c r="A20" s="117" t="s">
        <v>209</v>
      </c>
      <c r="B20" s="117"/>
      <c r="C20" s="117"/>
      <c r="D20" s="117"/>
      <c r="E20" s="117"/>
      <c r="F20" s="117"/>
      <c r="G20" s="117"/>
      <c r="H20" s="117"/>
    </row>
    <row r="21" spans="1:8" x14ac:dyDescent="0.3">
      <c r="A21" s="117" t="s">
        <v>210</v>
      </c>
      <c r="B21" s="117"/>
      <c r="C21" s="117"/>
      <c r="D21" s="117"/>
      <c r="E21" s="117"/>
      <c r="F21" s="117"/>
      <c r="G21" s="117"/>
      <c r="H21" s="117"/>
    </row>
    <row r="22" spans="1:8" x14ac:dyDescent="0.3">
      <c r="A22" s="117" t="s">
        <v>211</v>
      </c>
      <c r="B22" s="117"/>
      <c r="C22" s="117"/>
      <c r="D22" s="117"/>
      <c r="E22" s="117"/>
      <c r="F22" s="117"/>
      <c r="G22" s="117"/>
      <c r="H22" s="117"/>
    </row>
    <row r="23" spans="1:8" x14ac:dyDescent="0.3">
      <c r="A23" s="117" t="s">
        <v>212</v>
      </c>
      <c r="B23" s="117"/>
      <c r="C23" s="117"/>
      <c r="D23" s="117"/>
      <c r="E23" s="117"/>
      <c r="F23" s="117"/>
      <c r="G23" s="117"/>
      <c r="H23" s="117"/>
    </row>
    <row r="24" spans="1:8" x14ac:dyDescent="0.3">
      <c r="A24" s="117" t="s">
        <v>213</v>
      </c>
      <c r="B24" s="117"/>
      <c r="C24" s="117"/>
      <c r="D24" s="117"/>
      <c r="E24" s="117"/>
      <c r="F24" s="117"/>
      <c r="G24" s="117"/>
      <c r="H24" s="117"/>
    </row>
    <row r="25" spans="1:8" x14ac:dyDescent="0.3">
      <c r="A25" s="117" t="s">
        <v>214</v>
      </c>
      <c r="B25" s="117"/>
      <c r="C25" s="117"/>
      <c r="D25" s="117"/>
      <c r="E25" s="117"/>
      <c r="F25" s="117"/>
      <c r="G25" s="117"/>
      <c r="H25" s="117"/>
    </row>
    <row r="26" spans="1:8" x14ac:dyDescent="0.3">
      <c r="A26" s="117" t="s">
        <v>215</v>
      </c>
      <c r="B26" s="117"/>
      <c r="C26" s="117"/>
      <c r="D26" s="117"/>
      <c r="E26" s="117"/>
      <c r="F26" s="117"/>
      <c r="G26" s="117"/>
      <c r="H26" s="117"/>
    </row>
    <row r="27" spans="1:8" x14ac:dyDescent="0.3">
      <c r="A27" s="117" t="s">
        <v>216</v>
      </c>
      <c r="B27" s="117"/>
      <c r="C27" s="117"/>
      <c r="D27" s="117"/>
      <c r="E27" s="117"/>
      <c r="F27" s="117"/>
      <c r="G27" s="117"/>
      <c r="H27" s="117"/>
    </row>
    <row r="28" spans="1:8" x14ac:dyDescent="0.3">
      <c r="A28" s="117" t="s">
        <v>217</v>
      </c>
      <c r="B28" s="117"/>
      <c r="C28" s="117"/>
      <c r="D28" s="117"/>
      <c r="E28" s="117"/>
      <c r="F28" s="117"/>
      <c r="G28" s="117"/>
      <c r="H28" s="117"/>
    </row>
    <row r="29" spans="1:8" x14ac:dyDescent="0.3">
      <c r="A29" s="117" t="s">
        <v>218</v>
      </c>
      <c r="B29" s="117"/>
      <c r="C29" s="117"/>
      <c r="D29" s="117"/>
      <c r="E29" s="117"/>
      <c r="F29" s="117"/>
      <c r="G29" s="117"/>
      <c r="H29" s="117"/>
    </row>
    <row r="30" spans="1:8" x14ac:dyDescent="0.3">
      <c r="A30" s="117" t="s">
        <v>219</v>
      </c>
      <c r="B30" s="117"/>
      <c r="C30" s="117"/>
      <c r="D30" s="117"/>
      <c r="E30" s="117"/>
      <c r="F30" s="117"/>
      <c r="G30" s="117"/>
      <c r="H30" s="117"/>
    </row>
    <row r="31" spans="1:8" x14ac:dyDescent="0.3">
      <c r="A31" s="117" t="s">
        <v>220</v>
      </c>
      <c r="B31" s="117"/>
      <c r="C31" s="117"/>
      <c r="D31" s="117"/>
      <c r="E31" s="117"/>
      <c r="F31" s="117"/>
      <c r="G31" s="117"/>
      <c r="H31" s="117"/>
    </row>
    <row r="32" spans="1:8" x14ac:dyDescent="0.3">
      <c r="A32" s="117" t="s">
        <v>221</v>
      </c>
      <c r="B32" s="117"/>
      <c r="C32" s="117"/>
      <c r="D32" s="117"/>
      <c r="E32" s="117"/>
      <c r="F32" s="117"/>
      <c r="G32" s="117"/>
      <c r="H32" s="117"/>
    </row>
    <row r="33" spans="1:8" x14ac:dyDescent="0.3">
      <c r="A33" s="117" t="s">
        <v>222</v>
      </c>
      <c r="B33" s="117"/>
      <c r="C33" s="117"/>
      <c r="D33" s="117"/>
      <c r="E33" s="117"/>
      <c r="F33" s="117"/>
      <c r="G33" s="117"/>
      <c r="H33" s="117"/>
    </row>
    <row r="34" spans="1:8" x14ac:dyDescent="0.3">
      <c r="A34" s="117" t="s">
        <v>223</v>
      </c>
      <c r="B34" s="117"/>
      <c r="C34" s="117"/>
      <c r="D34" s="117"/>
      <c r="E34" s="117"/>
      <c r="F34" s="117"/>
      <c r="G34" s="117"/>
      <c r="H34" s="117"/>
    </row>
    <row r="35" spans="1:8" x14ac:dyDescent="0.3">
      <c r="A35" s="117" t="s">
        <v>212</v>
      </c>
      <c r="B35" s="117"/>
      <c r="C35" s="117"/>
      <c r="D35" s="117"/>
      <c r="E35" s="117"/>
      <c r="F35" s="117"/>
      <c r="G35" s="117"/>
      <c r="H35" s="117"/>
    </row>
    <row r="36" spans="1:8" x14ac:dyDescent="0.3">
      <c r="A36" s="117" t="s">
        <v>224</v>
      </c>
      <c r="B36" s="117"/>
      <c r="C36" s="117"/>
      <c r="D36" s="117"/>
      <c r="E36" s="117"/>
      <c r="F36" s="117"/>
      <c r="G36" s="117"/>
      <c r="H36" s="117"/>
    </row>
    <row r="37" spans="1:8" x14ac:dyDescent="0.3">
      <c r="A37" s="117" t="s">
        <v>225</v>
      </c>
      <c r="B37" s="117"/>
      <c r="C37" s="117"/>
      <c r="D37" s="117"/>
      <c r="E37" s="117"/>
      <c r="F37" s="117"/>
      <c r="G37" s="117"/>
      <c r="H37" s="117"/>
    </row>
    <row r="38" spans="1:8" x14ac:dyDescent="0.3">
      <c r="A38" s="117" t="s">
        <v>226</v>
      </c>
      <c r="B38" s="117"/>
      <c r="C38" s="117"/>
      <c r="D38" s="117"/>
      <c r="E38" s="117"/>
      <c r="F38" s="117"/>
      <c r="G38" s="117"/>
      <c r="H38" s="117"/>
    </row>
    <row r="39" spans="1:8" x14ac:dyDescent="0.3">
      <c r="A39" s="117" t="s">
        <v>227</v>
      </c>
      <c r="B39" s="117"/>
      <c r="C39" s="117"/>
      <c r="D39" s="117"/>
      <c r="E39" s="117"/>
      <c r="F39" s="117"/>
      <c r="G39" s="117"/>
      <c r="H39" s="117"/>
    </row>
    <row r="40" spans="1:8" x14ac:dyDescent="0.3">
      <c r="A40" s="117" t="s">
        <v>228</v>
      </c>
      <c r="B40" s="117"/>
      <c r="C40" s="117"/>
      <c r="D40" s="117"/>
      <c r="E40" s="117"/>
      <c r="F40" s="117"/>
      <c r="G40" s="117"/>
      <c r="H40" s="117"/>
    </row>
    <row r="41" spans="1:8" x14ac:dyDescent="0.3">
      <c r="A41" s="117" t="s">
        <v>229</v>
      </c>
      <c r="B41" s="117"/>
      <c r="C41" s="117"/>
      <c r="D41" s="117"/>
      <c r="E41" s="117"/>
      <c r="F41" s="117"/>
      <c r="G41" s="117"/>
      <c r="H41" s="117"/>
    </row>
    <row r="42" spans="1:8" x14ac:dyDescent="0.3">
      <c r="A42" s="117" t="s">
        <v>230</v>
      </c>
      <c r="B42" s="117"/>
      <c r="C42" s="117"/>
      <c r="D42" s="117"/>
      <c r="E42" s="117"/>
      <c r="F42" s="117"/>
      <c r="G42" s="117"/>
      <c r="H42" s="117"/>
    </row>
    <row r="43" spans="1:8" x14ac:dyDescent="0.3">
      <c r="A43" s="117" t="s">
        <v>231</v>
      </c>
      <c r="B43" s="117"/>
      <c r="C43" s="117"/>
      <c r="D43" s="117"/>
      <c r="E43" s="117"/>
      <c r="F43" s="117"/>
      <c r="G43" s="117"/>
      <c r="H43" s="117"/>
    </row>
    <row r="44" spans="1:8" x14ac:dyDescent="0.3">
      <c r="A44" s="117" t="s">
        <v>232</v>
      </c>
      <c r="B44" s="117"/>
      <c r="C44" s="117"/>
      <c r="D44" s="117"/>
      <c r="E44" s="117"/>
      <c r="F44" s="117"/>
      <c r="G44" s="117"/>
      <c r="H44" s="117"/>
    </row>
    <row r="45" spans="1:8" x14ac:dyDescent="0.3">
      <c r="A45" s="117" t="s">
        <v>233</v>
      </c>
      <c r="B45" s="117"/>
      <c r="C45" s="117"/>
      <c r="D45" s="117"/>
      <c r="E45" s="117"/>
      <c r="F45" s="117"/>
      <c r="G45" s="117"/>
      <c r="H45" s="117"/>
    </row>
    <row r="46" spans="1:8" x14ac:dyDescent="0.3">
      <c r="A46" s="117" t="s">
        <v>234</v>
      </c>
      <c r="B46" s="117"/>
      <c r="C46" s="117"/>
      <c r="D46" s="117"/>
      <c r="E46" s="117"/>
      <c r="F46" s="117"/>
      <c r="G46" s="117"/>
      <c r="H46" s="117"/>
    </row>
    <row r="47" spans="1:8" x14ac:dyDescent="0.3">
      <c r="A47" s="117" t="s">
        <v>235</v>
      </c>
      <c r="B47" s="117"/>
      <c r="C47" s="117"/>
      <c r="D47" s="117"/>
      <c r="E47" s="117"/>
      <c r="F47" s="117"/>
      <c r="G47" s="117"/>
      <c r="H47" s="117"/>
    </row>
    <row r="48" spans="1:8" x14ac:dyDescent="0.3">
      <c r="A48" s="117" t="s">
        <v>236</v>
      </c>
      <c r="B48" s="117"/>
      <c r="C48" s="117"/>
      <c r="D48" s="117"/>
      <c r="E48" s="117"/>
      <c r="F48" s="117"/>
      <c r="G48" s="117"/>
      <c r="H48" s="117"/>
    </row>
    <row r="49" spans="1:8" x14ac:dyDescent="0.3">
      <c r="A49" s="117" t="s">
        <v>237</v>
      </c>
      <c r="B49" s="117"/>
      <c r="C49" s="117"/>
      <c r="D49" s="117"/>
      <c r="E49" s="117"/>
      <c r="F49" s="117"/>
      <c r="G49" s="117"/>
      <c r="H49" s="117"/>
    </row>
    <row r="50" spans="1:8" x14ac:dyDescent="0.3">
      <c r="A50" s="117" t="s">
        <v>238</v>
      </c>
      <c r="B50" s="117"/>
      <c r="C50" s="117"/>
      <c r="D50" s="117"/>
      <c r="E50" s="117"/>
      <c r="F50" s="117"/>
      <c r="G50" s="117"/>
      <c r="H50" s="117"/>
    </row>
    <row r="51" spans="1:8" x14ac:dyDescent="0.3">
      <c r="A51" s="117" t="s">
        <v>239</v>
      </c>
      <c r="B51" s="117"/>
      <c r="C51" s="117"/>
      <c r="D51" s="117"/>
      <c r="E51" s="117"/>
      <c r="F51" s="117"/>
      <c r="G51" s="117"/>
      <c r="H51" s="117"/>
    </row>
    <row r="52" spans="1:8" x14ac:dyDescent="0.3">
      <c r="A52" s="117" t="s">
        <v>240</v>
      </c>
      <c r="B52" s="117"/>
      <c r="C52" s="117"/>
      <c r="D52" s="117"/>
      <c r="E52" s="117"/>
      <c r="F52" s="117"/>
      <c r="G52" s="117"/>
      <c r="H52" s="117"/>
    </row>
    <row r="53" spans="1:8" x14ac:dyDescent="0.3">
      <c r="A53" s="117" t="s">
        <v>241</v>
      </c>
      <c r="B53" s="117"/>
      <c r="C53" s="117"/>
      <c r="D53" s="117"/>
      <c r="E53" s="117"/>
      <c r="F53" s="117"/>
      <c r="G53" s="117"/>
      <c r="H53" s="117"/>
    </row>
    <row r="54" spans="1:8" x14ac:dyDescent="0.3">
      <c r="A54" s="117" t="s">
        <v>242</v>
      </c>
      <c r="B54" s="117"/>
      <c r="C54" s="117"/>
      <c r="D54" s="117"/>
      <c r="E54" s="117"/>
      <c r="F54" s="117"/>
      <c r="G54" s="117"/>
      <c r="H54" s="117"/>
    </row>
    <row r="55" spans="1:8" x14ac:dyDescent="0.3">
      <c r="A55" s="117" t="s">
        <v>243</v>
      </c>
      <c r="B55" s="117"/>
      <c r="C55" s="117"/>
      <c r="D55" s="117"/>
      <c r="E55" s="117"/>
      <c r="F55" s="117"/>
      <c r="G55" s="117"/>
      <c r="H55" s="117"/>
    </row>
    <row r="56" spans="1:8" x14ac:dyDescent="0.3">
      <c r="A56" s="117" t="s">
        <v>244</v>
      </c>
      <c r="B56" s="117"/>
      <c r="C56" s="117"/>
      <c r="D56" s="117"/>
      <c r="E56" s="117"/>
      <c r="F56" s="117"/>
      <c r="G56" s="117"/>
      <c r="H56" s="117"/>
    </row>
    <row r="57" spans="1:8" x14ac:dyDescent="0.3">
      <c r="A57" s="117" t="s">
        <v>212</v>
      </c>
      <c r="B57" s="117"/>
      <c r="C57" s="117"/>
      <c r="D57" s="117"/>
      <c r="E57" s="117"/>
      <c r="F57" s="117"/>
      <c r="G57" s="117"/>
      <c r="H57" s="117"/>
    </row>
    <row r="58" spans="1:8" x14ac:dyDescent="0.3">
      <c r="A58" s="117" t="s">
        <v>245</v>
      </c>
      <c r="B58" s="117"/>
      <c r="C58" s="117"/>
      <c r="D58" s="117"/>
      <c r="E58" s="117"/>
      <c r="F58" s="117"/>
      <c r="G58" s="117"/>
      <c r="H58" s="117"/>
    </row>
    <row r="59" spans="1:8" x14ac:dyDescent="0.3">
      <c r="A59" s="117" t="s">
        <v>246</v>
      </c>
      <c r="B59" s="117"/>
      <c r="C59" s="117"/>
      <c r="D59" s="117"/>
      <c r="E59" s="117"/>
      <c r="F59" s="117"/>
      <c r="G59" s="117"/>
      <c r="H59" s="117"/>
    </row>
    <row r="60" spans="1:8" x14ac:dyDescent="0.3">
      <c r="A60" s="117" t="s">
        <v>247</v>
      </c>
      <c r="B60" s="117"/>
      <c r="C60" s="117"/>
      <c r="D60" s="117"/>
      <c r="E60" s="117"/>
      <c r="F60" s="117"/>
      <c r="G60" s="117"/>
      <c r="H60" s="117"/>
    </row>
    <row r="61" spans="1:8" x14ac:dyDescent="0.3">
      <c r="A61" s="117" t="s">
        <v>248</v>
      </c>
      <c r="B61" s="117"/>
      <c r="C61" s="117"/>
      <c r="D61" s="117"/>
      <c r="E61" s="117"/>
      <c r="F61" s="117"/>
      <c r="G61" s="117"/>
      <c r="H61" s="117"/>
    </row>
    <row r="62" spans="1:8" x14ac:dyDescent="0.3">
      <c r="A62" s="117" t="s">
        <v>249</v>
      </c>
      <c r="B62" s="117"/>
      <c r="C62" s="117"/>
      <c r="D62" s="117"/>
      <c r="E62" s="117"/>
      <c r="F62" s="117"/>
      <c r="G62" s="117"/>
      <c r="H62" s="117"/>
    </row>
    <row r="63" spans="1:8" x14ac:dyDescent="0.3">
      <c r="A63" s="117" t="s">
        <v>250</v>
      </c>
      <c r="B63" s="117"/>
      <c r="C63" s="117"/>
      <c r="D63" s="117"/>
      <c r="E63" s="117"/>
      <c r="F63" s="117"/>
      <c r="G63" s="117"/>
      <c r="H63" s="117"/>
    </row>
    <row r="64" spans="1:8" x14ac:dyDescent="0.3">
      <c r="A64" s="117" t="s">
        <v>251</v>
      </c>
      <c r="B64" s="117"/>
      <c r="C64" s="117"/>
      <c r="D64" s="117"/>
      <c r="E64" s="117"/>
      <c r="F64" s="117"/>
      <c r="G64" s="117"/>
      <c r="H64" s="117"/>
    </row>
    <row r="65" spans="1:8" x14ac:dyDescent="0.3">
      <c r="A65" s="117" t="s">
        <v>252</v>
      </c>
      <c r="B65" s="117"/>
      <c r="C65" s="117"/>
      <c r="D65" s="117"/>
      <c r="E65" s="117"/>
      <c r="F65" s="117"/>
      <c r="G65" s="117"/>
      <c r="H65" s="117"/>
    </row>
    <row r="66" spans="1:8" x14ac:dyDescent="0.3">
      <c r="A66" s="117" t="s">
        <v>253</v>
      </c>
      <c r="B66" s="117"/>
      <c r="C66" s="117"/>
      <c r="D66" s="117"/>
      <c r="E66" s="117"/>
      <c r="F66" s="117"/>
      <c r="G66" s="117"/>
      <c r="H66" s="117"/>
    </row>
    <row r="67" spans="1:8" x14ac:dyDescent="0.3">
      <c r="A67" s="117" t="s">
        <v>212</v>
      </c>
      <c r="B67" s="117"/>
      <c r="C67" s="117"/>
      <c r="D67" s="117"/>
      <c r="E67" s="117"/>
      <c r="F67" s="117"/>
      <c r="G67" s="117"/>
      <c r="H67" s="117"/>
    </row>
    <row r="68" spans="1:8" x14ac:dyDescent="0.3">
      <c r="A68" s="117" t="s">
        <v>254</v>
      </c>
      <c r="B68" s="117"/>
      <c r="C68" s="117"/>
      <c r="D68" s="117"/>
      <c r="E68" s="117"/>
      <c r="F68" s="117"/>
      <c r="G68" s="117"/>
      <c r="H68" s="117"/>
    </row>
    <row r="69" spans="1:8" x14ac:dyDescent="0.3">
      <c r="A69" s="117" t="s">
        <v>255</v>
      </c>
      <c r="B69" s="117"/>
      <c r="C69" s="117"/>
      <c r="D69" s="117"/>
      <c r="E69" s="117"/>
      <c r="F69" s="117"/>
      <c r="G69" s="117"/>
      <c r="H69" s="117"/>
    </row>
    <row r="70" spans="1:8" x14ac:dyDescent="0.3">
      <c r="A70" s="117" t="s">
        <v>256</v>
      </c>
      <c r="B70" s="117"/>
      <c r="C70" s="117"/>
      <c r="D70" s="117"/>
      <c r="E70" s="117"/>
      <c r="F70" s="117"/>
      <c r="G70" s="117"/>
      <c r="H70" s="117"/>
    </row>
    <row r="71" spans="1:8" x14ac:dyDescent="0.3">
      <c r="A71" s="117" t="s">
        <v>257</v>
      </c>
      <c r="B71" s="117"/>
      <c r="C71" s="117"/>
      <c r="D71" s="117"/>
      <c r="E71" s="117"/>
      <c r="F71" s="117"/>
      <c r="G71" s="117"/>
      <c r="H71" s="117"/>
    </row>
    <row r="72" spans="1:8" x14ac:dyDescent="0.3">
      <c r="A72" s="117" t="s">
        <v>258</v>
      </c>
      <c r="B72" s="117"/>
      <c r="C72" s="117"/>
      <c r="D72" s="117"/>
      <c r="E72" s="117"/>
      <c r="F72" s="117"/>
      <c r="G72" s="117"/>
      <c r="H72" s="117"/>
    </row>
    <row r="73" spans="1:8" x14ac:dyDescent="0.3">
      <c r="A73" s="117" t="s">
        <v>259</v>
      </c>
      <c r="B73" s="117"/>
      <c r="C73" s="117"/>
      <c r="D73" s="117"/>
      <c r="E73" s="117"/>
      <c r="F73" s="117"/>
      <c r="G73" s="117"/>
      <c r="H73" s="117"/>
    </row>
    <row r="74" spans="1:8" x14ac:dyDescent="0.3">
      <c r="A74" s="117" t="s">
        <v>260</v>
      </c>
      <c r="B74" s="117"/>
      <c r="C74" s="117"/>
      <c r="D74" s="117"/>
      <c r="E74" s="117"/>
      <c r="F74" s="117"/>
      <c r="G74" s="117"/>
      <c r="H74" s="117"/>
    </row>
    <row r="75" spans="1:8" x14ac:dyDescent="0.3">
      <c r="A75" s="117" t="s">
        <v>261</v>
      </c>
      <c r="B75" s="117"/>
      <c r="C75" s="117"/>
      <c r="D75" s="117"/>
      <c r="E75" s="117"/>
      <c r="F75" s="117"/>
      <c r="G75" s="117"/>
      <c r="H75" s="117"/>
    </row>
    <row r="76" spans="1:8" x14ac:dyDescent="0.3">
      <c r="A76" s="117" t="s">
        <v>262</v>
      </c>
      <c r="B76" s="117"/>
      <c r="C76" s="117"/>
      <c r="D76" s="117"/>
      <c r="E76" s="117"/>
      <c r="F76" s="117"/>
      <c r="G76" s="117"/>
      <c r="H76" s="117"/>
    </row>
    <row r="77" spans="1:8" x14ac:dyDescent="0.3">
      <c r="A77" s="117" t="s">
        <v>258</v>
      </c>
      <c r="B77" s="117"/>
      <c r="C77" s="117"/>
      <c r="D77" s="117"/>
      <c r="E77" s="117"/>
      <c r="F77" s="117"/>
      <c r="G77" s="117"/>
      <c r="H77" s="117"/>
    </row>
    <row r="78" spans="1:8" x14ac:dyDescent="0.3">
      <c r="A78" s="117" t="s">
        <v>212</v>
      </c>
      <c r="B78" s="117"/>
      <c r="C78" s="117"/>
      <c r="D78" s="117"/>
      <c r="E78" s="117"/>
      <c r="F78" s="117"/>
      <c r="G78" s="117"/>
      <c r="H78" s="117"/>
    </row>
    <row r="79" spans="1:8" x14ac:dyDescent="0.3">
      <c r="A79" s="117" t="s">
        <v>263</v>
      </c>
      <c r="B79" s="117"/>
      <c r="C79" s="117"/>
      <c r="D79" s="117"/>
      <c r="E79" s="117"/>
      <c r="F79" s="117"/>
      <c r="G79" s="117"/>
      <c r="H79" s="117"/>
    </row>
    <row r="80" spans="1:8" x14ac:dyDescent="0.3">
      <c r="A80" s="117" t="s">
        <v>264</v>
      </c>
      <c r="B80" s="117"/>
      <c r="C80" s="117"/>
      <c r="D80" s="117"/>
      <c r="E80" s="117"/>
      <c r="F80" s="117"/>
      <c r="G80" s="117"/>
      <c r="H80" s="117"/>
    </row>
    <row r="81" spans="1:8" x14ac:dyDescent="0.3">
      <c r="A81" s="117" t="s">
        <v>265</v>
      </c>
      <c r="B81" s="117"/>
      <c r="C81" s="117"/>
      <c r="D81" s="117"/>
      <c r="E81" s="117"/>
      <c r="F81" s="117"/>
      <c r="G81" s="117"/>
      <c r="H81" s="117"/>
    </row>
    <row r="82" spans="1:8" x14ac:dyDescent="0.3">
      <c r="A82" s="117" t="s">
        <v>266</v>
      </c>
      <c r="B82" s="117"/>
      <c r="C82" s="117"/>
      <c r="D82" s="117"/>
      <c r="E82" s="117"/>
      <c r="F82" s="117"/>
      <c r="G82" s="117"/>
      <c r="H82" s="117"/>
    </row>
    <row r="83" spans="1:8" x14ac:dyDescent="0.3">
      <c r="A83" s="117" t="s">
        <v>267</v>
      </c>
      <c r="B83" s="117"/>
      <c r="C83" s="117"/>
      <c r="D83" s="117"/>
      <c r="E83" s="117"/>
      <c r="F83" s="117"/>
      <c r="G83" s="117"/>
      <c r="H83" s="117"/>
    </row>
    <row r="84" spans="1:8" x14ac:dyDescent="0.3">
      <c r="A84" s="117" t="s">
        <v>268</v>
      </c>
      <c r="B84" s="117"/>
      <c r="C84" s="117"/>
      <c r="D84" s="117"/>
      <c r="E84" s="117"/>
      <c r="F84" s="117"/>
      <c r="G84" s="117"/>
      <c r="H84" s="117"/>
    </row>
    <row r="85" spans="1:8" x14ac:dyDescent="0.3">
      <c r="A85" s="117" t="s">
        <v>269</v>
      </c>
      <c r="B85" s="117"/>
      <c r="C85" s="117"/>
      <c r="D85" s="117"/>
      <c r="E85" s="117"/>
      <c r="F85" s="117"/>
      <c r="G85" s="117"/>
      <c r="H85" s="117"/>
    </row>
    <row r="86" spans="1:8" x14ac:dyDescent="0.3">
      <c r="A86" s="117" t="s">
        <v>270</v>
      </c>
      <c r="B86" s="117"/>
      <c r="C86" s="117"/>
      <c r="D86" s="117"/>
      <c r="E86" s="117"/>
      <c r="F86" s="117"/>
      <c r="G86" s="117"/>
      <c r="H86" s="117"/>
    </row>
    <row r="87" spans="1:8" x14ac:dyDescent="0.3">
      <c r="A87" s="117" t="s">
        <v>271</v>
      </c>
      <c r="B87" s="117"/>
      <c r="C87" s="117"/>
      <c r="D87" s="117"/>
      <c r="E87" s="117"/>
      <c r="F87" s="117"/>
      <c r="G87" s="117"/>
      <c r="H87" s="117"/>
    </row>
    <row r="88" spans="1:8" x14ac:dyDescent="0.3">
      <c r="A88" s="117" t="s">
        <v>212</v>
      </c>
      <c r="B88" s="117"/>
      <c r="C88" s="117"/>
      <c r="D88" s="117"/>
      <c r="E88" s="117"/>
      <c r="F88" s="117"/>
      <c r="G88" s="117"/>
      <c r="H88" s="117"/>
    </row>
    <row r="89" spans="1:8" x14ac:dyDescent="0.3">
      <c r="A89" s="117" t="s">
        <v>272</v>
      </c>
      <c r="B89" s="117"/>
      <c r="C89" s="117"/>
      <c r="D89" s="117"/>
      <c r="E89" s="117"/>
      <c r="F89" s="117"/>
      <c r="G89" s="117"/>
      <c r="H89" s="117"/>
    </row>
    <row r="90" spans="1:8" x14ac:dyDescent="0.3">
      <c r="A90" s="117" t="s">
        <v>273</v>
      </c>
      <c r="B90" s="117"/>
      <c r="C90" s="117"/>
      <c r="D90" s="117"/>
      <c r="E90" s="117"/>
      <c r="F90" s="117"/>
      <c r="G90" s="117"/>
      <c r="H90" s="117"/>
    </row>
    <row r="91" spans="1:8" x14ac:dyDescent="0.3">
      <c r="A91" s="117" t="s">
        <v>274</v>
      </c>
      <c r="B91" s="117"/>
      <c r="C91" s="117"/>
      <c r="D91" s="117"/>
      <c r="E91" s="117"/>
      <c r="F91" s="117"/>
      <c r="G91" s="117"/>
      <c r="H91" s="117"/>
    </row>
    <row r="92" spans="1:8" x14ac:dyDescent="0.3">
      <c r="A92" s="117" t="s">
        <v>243</v>
      </c>
      <c r="B92" s="117"/>
      <c r="C92" s="117"/>
      <c r="D92" s="117"/>
      <c r="E92" s="117"/>
      <c r="F92" s="117"/>
      <c r="G92" s="117"/>
      <c r="H92" s="117"/>
    </row>
    <row r="93" spans="1:8" x14ac:dyDescent="0.3">
      <c r="A93" s="117" t="s">
        <v>275</v>
      </c>
      <c r="B93" s="117"/>
      <c r="C93" s="117"/>
      <c r="D93" s="117"/>
      <c r="E93" s="117"/>
      <c r="F93" s="117"/>
      <c r="G93" s="117"/>
      <c r="H93" s="117"/>
    </row>
    <row r="94" spans="1:8" x14ac:dyDescent="0.3">
      <c r="A94" s="117" t="s">
        <v>212</v>
      </c>
      <c r="B94" s="117"/>
      <c r="C94" s="117"/>
      <c r="D94" s="117"/>
      <c r="E94" s="117"/>
      <c r="F94" s="117"/>
      <c r="G94" s="117"/>
      <c r="H94" s="117"/>
    </row>
    <row r="95" spans="1:8" x14ac:dyDescent="0.3">
      <c r="A95" s="117" t="s">
        <v>276</v>
      </c>
      <c r="B95" s="117"/>
      <c r="C95" s="117"/>
      <c r="D95" s="117"/>
      <c r="E95" s="117"/>
      <c r="F95" s="117"/>
      <c r="G95" s="117"/>
      <c r="H95" s="117"/>
    </row>
    <row r="96" spans="1:8" x14ac:dyDescent="0.3">
      <c r="A96" s="117" t="s">
        <v>277</v>
      </c>
      <c r="B96" s="117"/>
      <c r="C96" s="117"/>
      <c r="D96" s="117"/>
      <c r="E96" s="117"/>
      <c r="F96" s="117"/>
      <c r="G96" s="117"/>
      <c r="H96" s="117"/>
    </row>
    <row r="97" spans="1:8" x14ac:dyDescent="0.3">
      <c r="A97" s="117" t="s">
        <v>278</v>
      </c>
      <c r="B97" s="117"/>
      <c r="C97" s="117"/>
      <c r="D97" s="117"/>
      <c r="E97" s="117"/>
      <c r="F97" s="117"/>
      <c r="G97" s="117"/>
      <c r="H97" s="117"/>
    </row>
    <row r="98" spans="1:8" x14ac:dyDescent="0.3">
      <c r="A98" s="117" t="s">
        <v>279</v>
      </c>
      <c r="B98" s="117"/>
      <c r="C98" s="117"/>
      <c r="D98" s="117"/>
      <c r="E98" s="117"/>
      <c r="F98" s="117"/>
      <c r="G98" s="117"/>
      <c r="H98" s="117"/>
    </row>
    <row r="99" spans="1:8" x14ac:dyDescent="0.3">
      <c r="A99" s="117" t="s">
        <v>280</v>
      </c>
      <c r="B99" s="117"/>
      <c r="C99" s="117"/>
      <c r="D99" s="117"/>
      <c r="E99" s="117"/>
      <c r="F99" s="117"/>
      <c r="G99" s="117"/>
      <c r="H99" s="117"/>
    </row>
    <row r="100" spans="1:8" x14ac:dyDescent="0.3">
      <c r="A100" s="117" t="s">
        <v>281</v>
      </c>
      <c r="B100" s="117"/>
      <c r="C100" s="117"/>
      <c r="D100" s="117"/>
      <c r="E100" s="117"/>
      <c r="F100" s="117"/>
      <c r="G100" s="117"/>
      <c r="H100" s="117"/>
    </row>
    <row r="101" spans="1:8" x14ac:dyDescent="0.3">
      <c r="A101" s="117" t="s">
        <v>282</v>
      </c>
      <c r="B101" s="117"/>
      <c r="C101" s="117"/>
      <c r="D101" s="117"/>
      <c r="E101" s="117"/>
      <c r="F101" s="117"/>
      <c r="G101" s="117"/>
      <c r="H101" s="117"/>
    </row>
    <row r="102" spans="1:8" x14ac:dyDescent="0.3">
      <c r="A102" s="117" t="s">
        <v>283</v>
      </c>
      <c r="B102" s="117"/>
      <c r="C102" s="117"/>
      <c r="D102" s="117"/>
      <c r="E102" s="117"/>
      <c r="F102" s="117"/>
      <c r="G102" s="117"/>
      <c r="H102" s="117"/>
    </row>
    <row r="103" spans="1:8" x14ac:dyDescent="0.3">
      <c r="A103" s="117" t="s">
        <v>284</v>
      </c>
      <c r="B103" s="117"/>
      <c r="C103" s="117"/>
      <c r="D103" s="117"/>
      <c r="E103" s="117"/>
      <c r="F103" s="117"/>
      <c r="G103" s="117"/>
      <c r="H103" s="117"/>
    </row>
    <row r="104" spans="1:8" x14ac:dyDescent="0.3">
      <c r="A104" s="117" t="s">
        <v>285</v>
      </c>
      <c r="B104" s="117"/>
      <c r="C104" s="117"/>
      <c r="D104" s="117"/>
      <c r="E104" s="117"/>
      <c r="F104" s="117"/>
      <c r="G104" s="117"/>
      <c r="H104" s="117"/>
    </row>
    <row r="105" spans="1:8" x14ac:dyDescent="0.3">
      <c r="A105" s="117" t="s">
        <v>212</v>
      </c>
      <c r="B105" s="117"/>
      <c r="C105" s="117"/>
      <c r="D105" s="117"/>
      <c r="E105" s="117"/>
      <c r="F105" s="117"/>
      <c r="G105" s="117"/>
      <c r="H105" s="117"/>
    </row>
    <row r="106" spans="1:8" x14ac:dyDescent="0.3">
      <c r="A106" s="117" t="s">
        <v>286</v>
      </c>
      <c r="B106" s="117"/>
      <c r="C106" s="117"/>
      <c r="D106" s="117"/>
      <c r="E106" s="117"/>
      <c r="F106" s="117"/>
      <c r="G106" s="117"/>
      <c r="H106" s="117"/>
    </row>
    <row r="107" spans="1:8" x14ac:dyDescent="0.3">
      <c r="A107" s="117" t="s">
        <v>287</v>
      </c>
      <c r="B107" s="117"/>
      <c r="C107" s="117"/>
      <c r="D107" s="117"/>
      <c r="E107" s="117"/>
      <c r="F107" s="117"/>
      <c r="G107" s="117"/>
      <c r="H107" s="117"/>
    </row>
    <row r="108" spans="1:8" x14ac:dyDescent="0.3">
      <c r="A108" s="117" t="s">
        <v>256</v>
      </c>
      <c r="B108" s="117"/>
      <c r="C108" s="117"/>
      <c r="D108" s="117"/>
      <c r="E108" s="117"/>
      <c r="F108" s="117"/>
      <c r="G108" s="117"/>
      <c r="H108" s="117"/>
    </row>
    <row r="109" spans="1:8" x14ac:dyDescent="0.3">
      <c r="A109" s="117" t="s">
        <v>288</v>
      </c>
      <c r="B109" s="117"/>
      <c r="C109" s="117"/>
      <c r="D109" s="117"/>
      <c r="E109" s="117"/>
      <c r="F109" s="117"/>
      <c r="G109" s="117"/>
      <c r="H109" s="117"/>
    </row>
    <row r="110" spans="1:8" x14ac:dyDescent="0.3">
      <c r="A110" s="117" t="s">
        <v>258</v>
      </c>
      <c r="B110" s="117"/>
      <c r="C110" s="117"/>
      <c r="D110" s="117"/>
      <c r="E110" s="117"/>
      <c r="F110" s="117"/>
      <c r="G110" s="117"/>
      <c r="H110" s="117"/>
    </row>
    <row r="111" spans="1:8" x14ac:dyDescent="0.3">
      <c r="A111" s="117" t="s">
        <v>289</v>
      </c>
      <c r="B111" s="117"/>
      <c r="C111" s="117"/>
      <c r="D111" s="117"/>
      <c r="E111" s="117"/>
      <c r="F111" s="117"/>
      <c r="G111" s="117"/>
      <c r="H111" s="117"/>
    </row>
    <row r="112" spans="1:8" x14ac:dyDescent="0.3">
      <c r="A112" s="117" t="s">
        <v>290</v>
      </c>
      <c r="B112" s="117"/>
      <c r="C112" s="117"/>
      <c r="D112" s="117"/>
      <c r="E112" s="117"/>
      <c r="F112" s="117"/>
      <c r="G112" s="117"/>
      <c r="H112" s="117"/>
    </row>
    <row r="113" spans="1:8" x14ac:dyDescent="0.3">
      <c r="A113" s="117" t="s">
        <v>291</v>
      </c>
      <c r="B113" s="117"/>
      <c r="C113" s="117"/>
      <c r="D113" s="117"/>
      <c r="E113" s="117"/>
      <c r="F113" s="117"/>
      <c r="G113" s="117"/>
      <c r="H113" s="117"/>
    </row>
    <row r="114" spans="1:8" x14ac:dyDescent="0.3">
      <c r="A114" s="117" t="s">
        <v>292</v>
      </c>
      <c r="B114" s="117"/>
      <c r="C114" s="117"/>
      <c r="D114" s="117"/>
      <c r="E114" s="117"/>
      <c r="F114" s="117"/>
      <c r="G114" s="117"/>
      <c r="H114" s="117"/>
    </row>
    <row r="115" spans="1:8" x14ac:dyDescent="0.3">
      <c r="A115" s="117" t="s">
        <v>256</v>
      </c>
      <c r="B115" s="117"/>
      <c r="C115" s="117"/>
      <c r="D115" s="117"/>
      <c r="E115" s="117"/>
      <c r="F115" s="117"/>
      <c r="G115" s="117"/>
      <c r="H115" s="117"/>
    </row>
    <row r="116" spans="1:8" x14ac:dyDescent="0.3">
      <c r="A116" s="117" t="s">
        <v>293</v>
      </c>
      <c r="B116" s="117"/>
      <c r="C116" s="117"/>
      <c r="D116" s="117"/>
      <c r="E116" s="117"/>
      <c r="F116" s="117"/>
      <c r="G116" s="117"/>
      <c r="H116" s="117"/>
    </row>
    <row r="117" spans="1:8" x14ac:dyDescent="0.3">
      <c r="A117" s="117" t="s">
        <v>294</v>
      </c>
      <c r="B117" s="117"/>
      <c r="C117" s="117"/>
      <c r="D117" s="117"/>
      <c r="E117" s="117"/>
      <c r="F117" s="117"/>
      <c r="G117" s="117"/>
      <c r="H117" s="117"/>
    </row>
    <row r="118" spans="1:8" x14ac:dyDescent="0.3">
      <c r="A118" s="117" t="s">
        <v>295</v>
      </c>
      <c r="B118" s="117"/>
      <c r="C118" s="117"/>
      <c r="D118" s="117"/>
      <c r="E118" s="117"/>
      <c r="F118" s="117"/>
      <c r="G118" s="117"/>
      <c r="H118" s="117"/>
    </row>
    <row r="119" spans="1:8" x14ac:dyDescent="0.3">
      <c r="A119" s="117" t="s">
        <v>296</v>
      </c>
      <c r="B119" s="117"/>
      <c r="C119" s="117"/>
      <c r="D119" s="117"/>
      <c r="E119" s="117"/>
      <c r="F119" s="117"/>
      <c r="G119" s="117"/>
      <c r="H119" s="117"/>
    </row>
    <row r="120" spans="1:8" x14ac:dyDescent="0.3">
      <c r="A120" s="117" t="s">
        <v>297</v>
      </c>
      <c r="B120" s="117"/>
      <c r="C120" s="117"/>
      <c r="D120" s="117"/>
      <c r="E120" s="117"/>
      <c r="F120" s="117"/>
      <c r="G120" s="117"/>
      <c r="H120" s="117"/>
    </row>
    <row r="121" spans="1:8" x14ac:dyDescent="0.3">
      <c r="A121" s="117" t="s">
        <v>298</v>
      </c>
      <c r="B121" s="117"/>
      <c r="C121" s="117"/>
      <c r="D121" s="117"/>
      <c r="E121" s="117"/>
      <c r="F121" s="117"/>
      <c r="G121" s="117"/>
      <c r="H121" s="117"/>
    </row>
    <row r="122" spans="1:8" x14ac:dyDescent="0.3">
      <c r="A122" s="117" t="s">
        <v>299</v>
      </c>
      <c r="B122" s="117"/>
      <c r="C122" s="117"/>
      <c r="D122" s="117"/>
      <c r="E122" s="117"/>
      <c r="F122" s="117"/>
      <c r="G122" s="117"/>
      <c r="H122" s="117"/>
    </row>
    <row r="123" spans="1:8" x14ac:dyDescent="0.3">
      <c r="A123" s="117" t="s">
        <v>300</v>
      </c>
      <c r="B123" s="117"/>
      <c r="C123" s="117"/>
      <c r="D123" s="117"/>
      <c r="E123" s="117"/>
      <c r="F123" s="117"/>
      <c r="G123" s="117"/>
      <c r="H123" s="117"/>
    </row>
    <row r="124" spans="1:8" x14ac:dyDescent="0.3">
      <c r="A124" s="117" t="s">
        <v>301</v>
      </c>
      <c r="B124" s="117"/>
      <c r="C124" s="117"/>
      <c r="D124" s="117"/>
      <c r="E124" s="117"/>
      <c r="F124" s="117"/>
      <c r="G124" s="117"/>
      <c r="H124" s="117"/>
    </row>
    <row r="125" spans="1:8" x14ac:dyDescent="0.3">
      <c r="A125" s="117" t="s">
        <v>302</v>
      </c>
      <c r="B125" s="117"/>
      <c r="C125" s="117"/>
      <c r="D125" s="117"/>
      <c r="E125" s="117"/>
      <c r="F125" s="117"/>
      <c r="G125" s="117"/>
      <c r="H125" s="117"/>
    </row>
    <row r="126" spans="1:8" x14ac:dyDescent="0.3">
      <c r="A126" s="117" t="s">
        <v>303</v>
      </c>
      <c r="B126" s="117"/>
      <c r="C126" s="117"/>
      <c r="D126" s="117"/>
      <c r="E126" s="117"/>
      <c r="F126" s="117"/>
      <c r="G126" s="117"/>
      <c r="H126" s="117"/>
    </row>
    <row r="127" spans="1:8" x14ac:dyDescent="0.3">
      <c r="A127" s="117" t="s">
        <v>304</v>
      </c>
      <c r="B127" s="117"/>
      <c r="C127" s="117"/>
      <c r="D127" s="117"/>
      <c r="E127" s="117"/>
      <c r="F127" s="117"/>
      <c r="G127" s="117"/>
      <c r="H127" s="117"/>
    </row>
    <row r="128" spans="1:8" x14ac:dyDescent="0.3">
      <c r="A128" s="117" t="s">
        <v>258</v>
      </c>
      <c r="B128" s="117"/>
      <c r="C128" s="117"/>
      <c r="D128" s="117"/>
      <c r="E128" s="117"/>
      <c r="F128" s="117"/>
      <c r="G128" s="117"/>
      <c r="H128" s="117"/>
    </row>
    <row r="129" spans="1:8" x14ac:dyDescent="0.3">
      <c r="A129" s="117" t="s">
        <v>212</v>
      </c>
      <c r="B129" s="117"/>
      <c r="C129" s="117"/>
      <c r="D129" s="117"/>
      <c r="E129" s="117"/>
      <c r="F129" s="117"/>
      <c r="G129" s="117"/>
      <c r="H129" s="117"/>
    </row>
    <row r="130" spans="1:8" x14ac:dyDescent="0.3">
      <c r="A130" s="117" t="s">
        <v>305</v>
      </c>
      <c r="B130" s="117"/>
      <c r="C130" s="117"/>
      <c r="D130" s="117"/>
      <c r="E130" s="117"/>
      <c r="F130" s="117"/>
      <c r="G130" s="117"/>
      <c r="H130" s="117"/>
    </row>
    <row r="131" spans="1:8" x14ac:dyDescent="0.3">
      <c r="A131" s="117" t="s">
        <v>306</v>
      </c>
      <c r="B131" s="117"/>
      <c r="C131" s="117"/>
      <c r="D131" s="117"/>
      <c r="E131" s="117"/>
      <c r="F131" s="117"/>
      <c r="G131" s="117"/>
      <c r="H131" s="117"/>
    </row>
    <row r="132" spans="1:8" x14ac:dyDescent="0.3">
      <c r="A132" s="117" t="s">
        <v>307</v>
      </c>
      <c r="B132" s="117"/>
      <c r="C132" s="117"/>
      <c r="D132" s="117"/>
      <c r="E132" s="117"/>
      <c r="F132" s="117"/>
      <c r="G132" s="117"/>
      <c r="H132" s="117"/>
    </row>
    <row r="133" spans="1:8" x14ac:dyDescent="0.3">
      <c r="A133" s="117" t="s">
        <v>308</v>
      </c>
      <c r="B133" s="117"/>
      <c r="C133" s="117"/>
      <c r="D133" s="117"/>
      <c r="E133" s="117"/>
      <c r="F133" s="117"/>
      <c r="G133" s="117"/>
      <c r="H133" s="117"/>
    </row>
    <row r="134" spans="1:8" x14ac:dyDescent="0.3">
      <c r="A134" s="117" t="s">
        <v>309</v>
      </c>
      <c r="B134" s="117"/>
      <c r="C134" s="117"/>
      <c r="D134" s="117"/>
      <c r="E134" s="117"/>
      <c r="F134" s="117"/>
      <c r="G134" s="117"/>
      <c r="H134" s="117"/>
    </row>
    <row r="135" spans="1:8" x14ac:dyDescent="0.3">
      <c r="A135" s="117" t="s">
        <v>310</v>
      </c>
      <c r="B135" s="117"/>
      <c r="C135" s="117"/>
      <c r="D135" s="117"/>
      <c r="E135" s="117"/>
      <c r="F135" s="117"/>
      <c r="G135" s="117"/>
      <c r="H135" s="117"/>
    </row>
    <row r="136" spans="1:8" x14ac:dyDescent="0.3">
      <c r="A136" s="117" t="s">
        <v>311</v>
      </c>
      <c r="B136" s="117"/>
      <c r="C136" s="117"/>
      <c r="D136" s="117"/>
      <c r="E136" s="117"/>
      <c r="F136" s="117"/>
      <c r="G136" s="117"/>
      <c r="H136" s="117"/>
    </row>
    <row r="137" spans="1:8" x14ac:dyDescent="0.3">
      <c r="A137" s="117" t="s">
        <v>312</v>
      </c>
      <c r="B137" s="117"/>
      <c r="C137" s="117"/>
      <c r="D137" s="117"/>
      <c r="E137" s="117"/>
      <c r="F137" s="117"/>
      <c r="G137" s="117"/>
      <c r="H137" s="117"/>
    </row>
    <row r="138" spans="1:8" x14ac:dyDescent="0.3">
      <c r="A138" s="117" t="s">
        <v>313</v>
      </c>
      <c r="B138" s="117"/>
      <c r="C138" s="117"/>
      <c r="D138" s="117"/>
      <c r="E138" s="117"/>
      <c r="F138" s="117"/>
      <c r="G138" s="117"/>
      <c r="H138" s="117"/>
    </row>
    <row r="139" spans="1:8" x14ac:dyDescent="0.3">
      <c r="A139" s="117" t="s">
        <v>314</v>
      </c>
      <c r="B139" s="117"/>
      <c r="C139" s="117"/>
      <c r="D139" s="117"/>
      <c r="E139" s="117"/>
      <c r="F139" s="117"/>
      <c r="G139" s="117"/>
      <c r="H139" s="117"/>
    </row>
    <row r="140" spans="1:8" x14ac:dyDescent="0.3">
      <c r="A140" s="117" t="s">
        <v>315</v>
      </c>
      <c r="B140" s="117"/>
      <c r="C140" s="117"/>
      <c r="D140" s="117"/>
      <c r="E140" s="117"/>
      <c r="F140" s="117"/>
      <c r="G140" s="117"/>
      <c r="H140" s="117"/>
    </row>
    <row r="141" spans="1:8" x14ac:dyDescent="0.3">
      <c r="A141" s="117" t="s">
        <v>316</v>
      </c>
      <c r="B141" s="117"/>
      <c r="C141" s="117"/>
      <c r="D141" s="117"/>
      <c r="E141" s="117"/>
      <c r="F141" s="117"/>
      <c r="G141" s="117"/>
      <c r="H141" s="117"/>
    </row>
    <row r="142" spans="1:8" x14ac:dyDescent="0.3">
      <c r="A142" s="117" t="s">
        <v>317</v>
      </c>
      <c r="B142" s="117"/>
      <c r="C142" s="117"/>
      <c r="D142" s="117"/>
      <c r="E142" s="117"/>
      <c r="F142" s="117"/>
      <c r="G142" s="117"/>
      <c r="H142" s="117"/>
    </row>
    <row r="143" spans="1:8" x14ac:dyDescent="0.3">
      <c r="A143" s="117" t="s">
        <v>318</v>
      </c>
      <c r="B143" s="117"/>
      <c r="C143" s="117"/>
      <c r="D143" s="117"/>
      <c r="E143" s="117"/>
      <c r="F143" s="117"/>
      <c r="G143" s="117"/>
      <c r="H143" s="117"/>
    </row>
    <row r="144" spans="1:8" x14ac:dyDescent="0.3">
      <c r="A144" s="117" t="s">
        <v>300</v>
      </c>
      <c r="B144" s="117"/>
      <c r="C144" s="117"/>
      <c r="D144" s="117"/>
      <c r="E144" s="117"/>
      <c r="F144" s="117"/>
      <c r="G144" s="117"/>
      <c r="H144" s="117"/>
    </row>
    <row r="145" spans="1:8" x14ac:dyDescent="0.3">
      <c r="A145" s="117" t="s">
        <v>319</v>
      </c>
      <c r="B145" s="117"/>
      <c r="C145" s="117"/>
      <c r="D145" s="117"/>
      <c r="E145" s="117"/>
      <c r="F145" s="117"/>
      <c r="G145" s="117"/>
      <c r="H145" s="117"/>
    </row>
    <row r="146" spans="1:8" x14ac:dyDescent="0.3">
      <c r="A146" s="117" t="s">
        <v>241</v>
      </c>
      <c r="B146" s="117"/>
      <c r="C146" s="117"/>
      <c r="D146" s="117"/>
      <c r="E146" s="117"/>
      <c r="F146" s="117"/>
      <c r="G146" s="117"/>
      <c r="H146" s="117"/>
    </row>
    <row r="147" spans="1:8" x14ac:dyDescent="0.3">
      <c r="A147" s="117" t="s">
        <v>320</v>
      </c>
      <c r="B147" s="117"/>
      <c r="C147" s="117"/>
      <c r="D147" s="117"/>
      <c r="E147" s="117"/>
      <c r="F147" s="117"/>
      <c r="G147" s="117"/>
      <c r="H147" s="117"/>
    </row>
    <row r="148" spans="1:8" x14ac:dyDescent="0.3">
      <c r="A148" s="117" t="s">
        <v>243</v>
      </c>
      <c r="B148" s="117"/>
      <c r="C148" s="117"/>
      <c r="D148" s="117"/>
      <c r="E148" s="117"/>
      <c r="F148" s="117"/>
      <c r="G148" s="117"/>
      <c r="H148" s="117"/>
    </row>
    <row r="149" spans="1:8" x14ac:dyDescent="0.3">
      <c r="A149" s="117" t="s">
        <v>321</v>
      </c>
      <c r="B149" s="117"/>
      <c r="C149" s="117"/>
      <c r="D149" s="117"/>
      <c r="E149" s="117"/>
      <c r="F149" s="117"/>
      <c r="G149" s="117"/>
      <c r="H149" s="117"/>
    </row>
    <row r="150" spans="1:8" x14ac:dyDescent="0.3">
      <c r="A150" s="117" t="s">
        <v>322</v>
      </c>
      <c r="B150" s="117"/>
      <c r="C150" s="117"/>
      <c r="D150" s="117"/>
      <c r="E150" s="117"/>
      <c r="F150" s="117"/>
      <c r="G150" s="117"/>
      <c r="H150" s="117"/>
    </row>
    <row r="151" spans="1:8" x14ac:dyDescent="0.3">
      <c r="A151" s="117" t="s">
        <v>212</v>
      </c>
      <c r="B151" s="117"/>
      <c r="C151" s="117"/>
      <c r="D151" s="117"/>
      <c r="E151" s="117"/>
      <c r="F151" s="117"/>
      <c r="G151" s="117"/>
      <c r="H151" s="117"/>
    </row>
    <row r="152" spans="1:8" x14ac:dyDescent="0.3">
      <c r="A152" s="117" t="s">
        <v>323</v>
      </c>
      <c r="B152" s="117"/>
      <c r="C152" s="117"/>
      <c r="D152" s="117"/>
      <c r="E152" s="117"/>
      <c r="F152" s="117"/>
      <c r="G152" s="117"/>
      <c r="H152" s="117"/>
    </row>
    <row r="153" spans="1:8" x14ac:dyDescent="0.3">
      <c r="A153" s="117" t="s">
        <v>324</v>
      </c>
      <c r="B153" s="117"/>
      <c r="C153" s="117"/>
      <c r="D153" s="117"/>
      <c r="E153" s="117"/>
      <c r="F153" s="117"/>
      <c r="G153" s="117"/>
      <c r="H153" s="117"/>
    </row>
    <row r="154" spans="1:8" x14ac:dyDescent="0.3">
      <c r="A154" s="117" t="s">
        <v>325</v>
      </c>
      <c r="B154" s="117"/>
      <c r="C154" s="117"/>
      <c r="D154" s="117"/>
      <c r="E154" s="117"/>
      <c r="F154" s="117"/>
      <c r="G154" s="117"/>
      <c r="H154" s="117"/>
    </row>
    <row r="155" spans="1:8" x14ac:dyDescent="0.3">
      <c r="A155" s="117" t="s">
        <v>326</v>
      </c>
      <c r="B155" s="117"/>
      <c r="C155" s="117"/>
      <c r="D155" s="117"/>
      <c r="E155" s="117"/>
      <c r="F155" s="117"/>
      <c r="G155" s="117"/>
      <c r="H155" s="117"/>
    </row>
    <row r="156" spans="1:8" x14ac:dyDescent="0.3">
      <c r="A156" s="117" t="s">
        <v>327</v>
      </c>
      <c r="B156" s="117"/>
      <c r="C156" s="117"/>
      <c r="D156" s="117"/>
      <c r="E156" s="117"/>
      <c r="F156" s="117"/>
      <c r="G156" s="117"/>
      <c r="H156" s="117"/>
    </row>
    <row r="157" spans="1:8" x14ac:dyDescent="0.3">
      <c r="A157" s="117" t="s">
        <v>328</v>
      </c>
      <c r="B157" s="117"/>
      <c r="C157" s="117"/>
      <c r="D157" s="117"/>
      <c r="E157" s="117"/>
      <c r="F157" s="117"/>
      <c r="G157" s="117"/>
      <c r="H157" s="117"/>
    </row>
    <row r="158" spans="1:8" x14ac:dyDescent="0.3">
      <c r="A158" s="117" t="s">
        <v>329</v>
      </c>
      <c r="B158" s="117"/>
      <c r="C158" s="117"/>
      <c r="D158" s="117"/>
      <c r="E158" s="117"/>
      <c r="F158" s="117"/>
      <c r="G158" s="117"/>
      <c r="H158" s="117"/>
    </row>
    <row r="159" spans="1:8" x14ac:dyDescent="0.3">
      <c r="A159" s="117" t="s">
        <v>330</v>
      </c>
      <c r="B159" s="117"/>
      <c r="C159" s="117"/>
      <c r="D159" s="117"/>
      <c r="E159" s="117"/>
      <c r="F159" s="117"/>
      <c r="G159" s="117"/>
      <c r="H159" s="117"/>
    </row>
    <row r="160" spans="1:8" x14ac:dyDescent="0.3">
      <c r="A160" s="117" t="s">
        <v>331</v>
      </c>
      <c r="B160" s="117"/>
      <c r="C160" s="117"/>
      <c r="D160" s="117"/>
      <c r="E160" s="117"/>
      <c r="F160" s="117"/>
      <c r="G160" s="117"/>
      <c r="H160" s="117"/>
    </row>
    <row r="161" spans="1:8" x14ac:dyDescent="0.3">
      <c r="A161" s="117" t="s">
        <v>332</v>
      </c>
      <c r="B161" s="117"/>
      <c r="C161" s="117"/>
      <c r="D161" s="117"/>
      <c r="E161" s="117"/>
      <c r="F161" s="117"/>
      <c r="G161" s="117"/>
      <c r="H161" s="117"/>
    </row>
    <row r="162" spans="1:8" x14ac:dyDescent="0.3">
      <c r="A162" s="117" t="s">
        <v>333</v>
      </c>
      <c r="B162" s="117"/>
      <c r="C162" s="117"/>
      <c r="D162" s="117"/>
      <c r="E162" s="117"/>
      <c r="F162" s="117"/>
      <c r="G162" s="117"/>
      <c r="H162" s="117"/>
    </row>
    <row r="163" spans="1:8" x14ac:dyDescent="0.3">
      <c r="A163" s="117" t="s">
        <v>334</v>
      </c>
      <c r="B163" s="117"/>
      <c r="C163" s="117"/>
      <c r="D163" s="117"/>
      <c r="E163" s="117"/>
      <c r="F163" s="117"/>
      <c r="G163" s="117"/>
      <c r="H163" s="117"/>
    </row>
    <row r="164" spans="1:8" x14ac:dyDescent="0.3">
      <c r="A164" s="117" t="s">
        <v>322</v>
      </c>
      <c r="B164" s="117"/>
      <c r="C164" s="117"/>
      <c r="D164" s="117"/>
      <c r="E164" s="117"/>
      <c r="F164" s="117"/>
      <c r="G164" s="117"/>
      <c r="H164" s="117"/>
    </row>
    <row r="165" spans="1:8" x14ac:dyDescent="0.3">
      <c r="A165" s="117" t="s">
        <v>212</v>
      </c>
      <c r="B165" s="117"/>
      <c r="C165" s="117"/>
      <c r="D165" s="117"/>
      <c r="E165" s="117"/>
      <c r="F165" s="117"/>
      <c r="G165" s="117"/>
      <c r="H165" s="117"/>
    </row>
    <row r="166" spans="1:8" x14ac:dyDescent="0.3">
      <c r="A166" s="117" t="s">
        <v>335</v>
      </c>
      <c r="B166" s="117"/>
      <c r="C166" s="117"/>
      <c r="D166" s="117"/>
      <c r="E166" s="117"/>
      <c r="F166" s="117"/>
      <c r="G166" s="117"/>
      <c r="H166" s="117"/>
    </row>
    <row r="167" spans="1:8" x14ac:dyDescent="0.3">
      <c r="A167" s="117" t="s">
        <v>336</v>
      </c>
      <c r="B167" s="117"/>
      <c r="C167" s="117"/>
      <c r="D167" s="117"/>
      <c r="E167" s="117"/>
      <c r="F167" s="117"/>
      <c r="G167" s="117"/>
      <c r="H167" s="117"/>
    </row>
    <row r="168" spans="1:8" x14ac:dyDescent="0.3">
      <c r="A168" s="117" t="s">
        <v>337</v>
      </c>
      <c r="B168" s="117"/>
      <c r="C168" s="117"/>
      <c r="D168" s="117"/>
      <c r="E168" s="117"/>
      <c r="F168" s="117"/>
      <c r="G168" s="117"/>
      <c r="H168" s="117"/>
    </row>
    <row r="169" spans="1:8" x14ac:dyDescent="0.3">
      <c r="A169" s="117" t="s">
        <v>338</v>
      </c>
      <c r="B169" s="117"/>
      <c r="C169" s="117"/>
      <c r="D169" s="117"/>
      <c r="E169" s="117"/>
      <c r="F169" s="117"/>
      <c r="G169" s="117"/>
      <c r="H169" s="117"/>
    </row>
    <row r="170" spans="1:8" x14ac:dyDescent="0.3">
      <c r="A170" s="117" t="s">
        <v>339</v>
      </c>
      <c r="B170" s="117"/>
      <c r="C170" s="117"/>
      <c r="D170" s="117"/>
      <c r="E170" s="117"/>
      <c r="F170" s="117"/>
      <c r="G170" s="117"/>
      <c r="H170" s="117"/>
    </row>
    <row r="171" spans="1:8" x14ac:dyDescent="0.3">
      <c r="A171" s="117" t="s">
        <v>340</v>
      </c>
      <c r="B171" s="117"/>
      <c r="C171" s="117"/>
      <c r="D171" s="117"/>
      <c r="E171" s="117"/>
      <c r="F171" s="117"/>
      <c r="G171" s="117"/>
      <c r="H171" s="117"/>
    </row>
    <row r="172" spans="1:8" x14ac:dyDescent="0.3">
      <c r="A172" s="117" t="s">
        <v>341</v>
      </c>
      <c r="B172" s="117"/>
      <c r="C172" s="117"/>
      <c r="D172" s="117"/>
      <c r="E172" s="117"/>
      <c r="F172" s="117"/>
      <c r="G172" s="117"/>
      <c r="H172" s="117"/>
    </row>
    <row r="173" spans="1:8" x14ac:dyDescent="0.3">
      <c r="A173" s="117" t="s">
        <v>342</v>
      </c>
      <c r="B173" s="117"/>
      <c r="C173" s="117"/>
      <c r="D173" s="117"/>
      <c r="E173" s="117"/>
      <c r="F173" s="117"/>
      <c r="G173" s="117"/>
      <c r="H173" s="117"/>
    </row>
    <row r="174" spans="1:8" x14ac:dyDescent="0.3">
      <c r="A174" s="117" t="s">
        <v>212</v>
      </c>
      <c r="B174" s="117"/>
      <c r="C174" s="117"/>
      <c r="D174" s="117"/>
      <c r="E174" s="117"/>
      <c r="F174" s="117"/>
      <c r="G174" s="117"/>
      <c r="H174" s="117"/>
    </row>
    <row r="175" spans="1:8" x14ac:dyDescent="0.3">
      <c r="A175" s="117" t="s">
        <v>343</v>
      </c>
      <c r="B175" s="117"/>
      <c r="C175" s="117"/>
      <c r="D175" s="117"/>
      <c r="E175" s="117"/>
      <c r="F175" s="117"/>
      <c r="G175" s="117"/>
      <c r="H175" s="117"/>
    </row>
    <row r="176" spans="1:8" x14ac:dyDescent="0.3">
      <c r="A176" s="117" t="s">
        <v>336</v>
      </c>
      <c r="B176" s="117"/>
      <c r="C176" s="117"/>
      <c r="D176" s="117"/>
      <c r="E176" s="117"/>
      <c r="F176" s="117"/>
      <c r="G176" s="117"/>
      <c r="H176" s="117"/>
    </row>
    <row r="177" spans="1:8" x14ac:dyDescent="0.3">
      <c r="A177" s="117" t="s">
        <v>344</v>
      </c>
      <c r="B177" s="117"/>
      <c r="C177" s="117"/>
      <c r="D177" s="117"/>
      <c r="E177" s="117"/>
      <c r="F177" s="117"/>
      <c r="G177" s="117"/>
      <c r="H177" s="117"/>
    </row>
    <row r="178" spans="1:8" x14ac:dyDescent="0.3">
      <c r="A178" s="117" t="s">
        <v>338</v>
      </c>
      <c r="B178" s="117"/>
      <c r="C178" s="117"/>
      <c r="D178" s="117"/>
      <c r="E178" s="117"/>
      <c r="F178" s="117"/>
      <c r="G178" s="117"/>
      <c r="H178" s="117"/>
    </row>
    <row r="179" spans="1:8" x14ac:dyDescent="0.3">
      <c r="A179" s="117" t="s">
        <v>345</v>
      </c>
      <c r="B179" s="117"/>
      <c r="C179" s="117"/>
      <c r="D179" s="117"/>
      <c r="E179" s="117"/>
      <c r="F179" s="117"/>
      <c r="G179" s="117"/>
      <c r="H179" s="117"/>
    </row>
    <row r="180" spans="1:8" x14ac:dyDescent="0.3">
      <c r="A180" s="117" t="s">
        <v>346</v>
      </c>
      <c r="B180" s="117"/>
      <c r="C180" s="117"/>
      <c r="D180" s="117"/>
      <c r="E180" s="117"/>
      <c r="F180" s="117"/>
      <c r="G180" s="117"/>
      <c r="H180" s="117"/>
    </row>
    <row r="181" spans="1:8" x14ac:dyDescent="0.3">
      <c r="A181" s="117" t="s">
        <v>242</v>
      </c>
      <c r="B181" s="117"/>
      <c r="C181" s="117"/>
      <c r="D181" s="117"/>
      <c r="E181" s="117"/>
      <c r="F181" s="117"/>
      <c r="G181" s="117"/>
      <c r="H181" s="117"/>
    </row>
    <row r="182" spans="1:8" x14ac:dyDescent="0.3">
      <c r="A182" s="117" t="s">
        <v>340</v>
      </c>
      <c r="B182" s="117"/>
      <c r="C182" s="117"/>
      <c r="D182" s="117"/>
      <c r="E182" s="117"/>
      <c r="F182" s="117"/>
      <c r="G182" s="117"/>
      <c r="H182" s="117"/>
    </row>
    <row r="183" spans="1:8" x14ac:dyDescent="0.3">
      <c r="A183" s="117" t="s">
        <v>347</v>
      </c>
      <c r="B183" s="117"/>
      <c r="C183" s="117"/>
      <c r="D183" s="117"/>
      <c r="E183" s="117"/>
      <c r="F183" s="117"/>
      <c r="G183" s="117"/>
      <c r="H183" s="117"/>
    </row>
    <row r="184" spans="1:8" x14ac:dyDescent="0.3">
      <c r="A184" s="117" t="s">
        <v>342</v>
      </c>
      <c r="B184" s="117"/>
      <c r="C184" s="117"/>
      <c r="D184" s="117"/>
      <c r="E184" s="117"/>
      <c r="F184" s="117"/>
      <c r="G184" s="117"/>
      <c r="H184" s="117"/>
    </row>
    <row r="185" spans="1:8" x14ac:dyDescent="0.3">
      <c r="A185" s="117" t="s">
        <v>212</v>
      </c>
      <c r="B185" s="117"/>
      <c r="C185" s="117"/>
      <c r="D185" s="117"/>
      <c r="E185" s="117"/>
      <c r="F185" s="117"/>
      <c r="G185" s="117"/>
      <c r="H185" s="117"/>
    </row>
    <row r="186" spans="1:8" x14ac:dyDescent="0.3">
      <c r="A186" s="117" t="s">
        <v>348</v>
      </c>
      <c r="B186" s="117"/>
      <c r="C186" s="117"/>
      <c r="D186" s="117"/>
      <c r="E186" s="117"/>
      <c r="F186" s="117"/>
      <c r="G186" s="117"/>
      <c r="H186" s="117"/>
    </row>
    <row r="187" spans="1:8" x14ac:dyDescent="0.3">
      <c r="A187" s="117" t="s">
        <v>349</v>
      </c>
      <c r="B187" s="117"/>
      <c r="C187" s="117"/>
      <c r="D187" s="117"/>
      <c r="E187" s="117"/>
      <c r="F187" s="117"/>
      <c r="G187" s="117"/>
      <c r="H187" s="117"/>
    </row>
    <row r="188" spans="1:8" x14ac:dyDescent="0.3">
      <c r="A188" s="117" t="s">
        <v>350</v>
      </c>
      <c r="B188" s="117"/>
      <c r="C188" s="117"/>
      <c r="D188" s="117"/>
      <c r="E188" s="117"/>
      <c r="F188" s="117"/>
      <c r="G188" s="117"/>
      <c r="H188" s="117"/>
    </row>
    <row r="189" spans="1:8" x14ac:dyDescent="0.3">
      <c r="A189" s="117" t="s">
        <v>351</v>
      </c>
      <c r="B189" s="117"/>
      <c r="C189" s="117"/>
      <c r="D189" s="117"/>
      <c r="E189" s="117"/>
      <c r="F189" s="117"/>
      <c r="G189" s="117"/>
      <c r="H189" s="117"/>
    </row>
    <row r="190" spans="1:8" x14ac:dyDescent="0.3">
      <c r="A190" s="117" t="s">
        <v>352</v>
      </c>
      <c r="B190" s="117"/>
      <c r="C190" s="117"/>
      <c r="D190" s="117"/>
      <c r="E190" s="117"/>
      <c r="F190" s="117"/>
      <c r="G190" s="117"/>
      <c r="H190" s="117"/>
    </row>
    <row r="191" spans="1:8" x14ac:dyDescent="0.3">
      <c r="A191" s="117" t="s">
        <v>353</v>
      </c>
      <c r="B191" s="117"/>
      <c r="C191" s="117"/>
      <c r="D191" s="117"/>
      <c r="E191" s="117"/>
      <c r="F191" s="117"/>
      <c r="G191" s="117"/>
      <c r="H191" s="117"/>
    </row>
    <row r="192" spans="1:8" x14ac:dyDescent="0.3">
      <c r="A192" s="117" t="s">
        <v>354</v>
      </c>
      <c r="B192" s="117"/>
      <c r="C192" s="117"/>
      <c r="D192" s="117"/>
      <c r="E192" s="117"/>
      <c r="F192" s="117"/>
      <c r="G192" s="117"/>
      <c r="H192" s="117"/>
    </row>
    <row r="193" spans="1:8" x14ac:dyDescent="0.3">
      <c r="A193" s="117" t="s">
        <v>355</v>
      </c>
      <c r="B193" s="117"/>
      <c r="C193" s="117"/>
      <c r="D193" s="117"/>
      <c r="E193" s="117"/>
      <c r="F193" s="117"/>
      <c r="G193" s="117"/>
      <c r="H193" s="117"/>
    </row>
    <row r="194" spans="1:8" x14ac:dyDescent="0.3">
      <c r="A194" s="117" t="s">
        <v>356</v>
      </c>
      <c r="B194" s="117"/>
      <c r="C194" s="117"/>
      <c r="D194" s="117"/>
      <c r="E194" s="117"/>
      <c r="F194" s="117"/>
      <c r="G194" s="117"/>
      <c r="H194" s="117"/>
    </row>
    <row r="195" spans="1:8" x14ac:dyDescent="0.3">
      <c r="A195" s="117" t="s">
        <v>357</v>
      </c>
      <c r="B195" s="117"/>
      <c r="C195" s="117"/>
      <c r="D195" s="117"/>
      <c r="E195" s="117"/>
      <c r="F195" s="117"/>
      <c r="G195" s="117"/>
      <c r="H195" s="117"/>
    </row>
    <row r="196" spans="1:8" x14ac:dyDescent="0.3">
      <c r="A196" s="117" t="s">
        <v>358</v>
      </c>
      <c r="B196" s="117"/>
      <c r="C196" s="117"/>
      <c r="D196" s="117"/>
      <c r="E196" s="117"/>
      <c r="F196" s="117"/>
      <c r="G196" s="117"/>
      <c r="H196" s="117"/>
    </row>
    <row r="197" spans="1:8" x14ac:dyDescent="0.3">
      <c r="A197" s="117" t="s">
        <v>264</v>
      </c>
      <c r="B197" s="117"/>
      <c r="C197" s="117"/>
      <c r="D197" s="117"/>
      <c r="E197" s="117"/>
      <c r="F197" s="117"/>
      <c r="G197" s="117"/>
      <c r="H197" s="117"/>
    </row>
    <row r="198" spans="1:8" x14ac:dyDescent="0.3">
      <c r="A198" s="117" t="s">
        <v>359</v>
      </c>
      <c r="B198" s="117"/>
      <c r="C198" s="117"/>
      <c r="D198" s="117"/>
      <c r="E198" s="117"/>
      <c r="F198" s="117"/>
      <c r="G198" s="117"/>
      <c r="H198" s="117"/>
    </row>
    <row r="199" spans="1:8" x14ac:dyDescent="0.3">
      <c r="A199" s="117" t="s">
        <v>322</v>
      </c>
      <c r="B199" s="117"/>
      <c r="C199" s="117"/>
      <c r="D199" s="117"/>
      <c r="E199" s="117"/>
      <c r="F199" s="117"/>
      <c r="G199" s="117"/>
      <c r="H199" s="117"/>
    </row>
    <row r="200" spans="1:8" x14ac:dyDescent="0.3">
      <c r="A200" s="117" t="s">
        <v>212</v>
      </c>
      <c r="B200" s="117"/>
      <c r="C200" s="117"/>
      <c r="D200" s="117"/>
      <c r="E200" s="117"/>
      <c r="F200" s="117"/>
      <c r="G200" s="117"/>
      <c r="H200" s="117"/>
    </row>
    <row r="201" spans="1:8" x14ac:dyDescent="0.3">
      <c r="A201" s="117" t="s">
        <v>360</v>
      </c>
      <c r="B201" s="117"/>
      <c r="C201" s="117"/>
      <c r="D201" s="117"/>
      <c r="E201" s="117"/>
      <c r="F201" s="117"/>
      <c r="G201" s="117"/>
      <c r="H201" s="117"/>
    </row>
    <row r="202" spans="1:8" x14ac:dyDescent="0.3">
      <c r="A202" s="117" t="s">
        <v>361</v>
      </c>
      <c r="B202" s="117"/>
      <c r="C202" s="117"/>
      <c r="D202" s="117"/>
      <c r="E202" s="117"/>
      <c r="F202" s="117"/>
      <c r="G202" s="117"/>
      <c r="H202" s="117"/>
    </row>
    <row r="203" spans="1:8" x14ac:dyDescent="0.3">
      <c r="A203" s="117" t="s">
        <v>362</v>
      </c>
      <c r="B203" s="117"/>
      <c r="C203" s="117"/>
      <c r="D203" s="117"/>
      <c r="E203" s="117"/>
      <c r="F203" s="117"/>
      <c r="G203" s="117"/>
      <c r="H203" s="117"/>
    </row>
    <row r="204" spans="1:8" x14ac:dyDescent="0.3">
      <c r="A204" s="117" t="s">
        <v>363</v>
      </c>
      <c r="B204" s="117"/>
      <c r="C204" s="117"/>
      <c r="D204" s="117"/>
      <c r="E204" s="117"/>
      <c r="F204" s="117"/>
      <c r="G204" s="117"/>
      <c r="H204" s="117"/>
    </row>
    <row r="205" spans="1:8" x14ac:dyDescent="0.3">
      <c r="A205" s="117" t="s">
        <v>364</v>
      </c>
      <c r="B205" s="117"/>
      <c r="C205" s="117"/>
      <c r="D205" s="117"/>
      <c r="E205" s="117"/>
      <c r="F205" s="117"/>
      <c r="G205" s="117"/>
      <c r="H205" s="117"/>
    </row>
    <row r="206" spans="1:8" x14ac:dyDescent="0.3">
      <c r="A206" s="117" t="s">
        <v>365</v>
      </c>
      <c r="B206" s="117"/>
      <c r="C206" s="117"/>
      <c r="D206" s="117"/>
      <c r="E206" s="117"/>
      <c r="F206" s="117"/>
      <c r="G206" s="117"/>
      <c r="H206" s="117"/>
    </row>
    <row r="207" spans="1:8" x14ac:dyDescent="0.3">
      <c r="A207" s="117" t="s">
        <v>342</v>
      </c>
      <c r="B207" s="117"/>
      <c r="C207" s="117"/>
      <c r="D207" s="117"/>
      <c r="E207" s="117"/>
      <c r="F207" s="117"/>
      <c r="G207" s="117"/>
      <c r="H207" s="117"/>
    </row>
    <row r="208" spans="1:8" x14ac:dyDescent="0.3">
      <c r="A208" s="117" t="s">
        <v>212</v>
      </c>
      <c r="B208" s="117"/>
      <c r="C208" s="117"/>
      <c r="D208" s="117"/>
      <c r="E208" s="117"/>
      <c r="F208" s="117"/>
      <c r="G208" s="117"/>
      <c r="H208" s="117"/>
    </row>
    <row r="209" spans="1:8" x14ac:dyDescent="0.3">
      <c r="A209" s="117" t="s">
        <v>366</v>
      </c>
      <c r="B209" s="117"/>
      <c r="C209" s="117"/>
      <c r="D209" s="117"/>
      <c r="E209" s="117"/>
      <c r="F209" s="117"/>
      <c r="G209" s="117"/>
      <c r="H209" s="117"/>
    </row>
    <row r="210" spans="1:8" x14ac:dyDescent="0.3">
      <c r="A210" s="117" t="s">
        <v>367</v>
      </c>
      <c r="B210" s="117"/>
      <c r="C210" s="117"/>
      <c r="D210" s="117"/>
      <c r="E210" s="117"/>
      <c r="F210" s="117"/>
      <c r="G210" s="117"/>
      <c r="H210" s="117"/>
    </row>
    <row r="211" spans="1:8" x14ac:dyDescent="0.3">
      <c r="A211" s="117" t="s">
        <v>368</v>
      </c>
      <c r="B211" s="117"/>
      <c r="C211" s="117"/>
      <c r="D211" s="117"/>
      <c r="E211" s="117"/>
      <c r="F211" s="117"/>
      <c r="G211" s="117"/>
      <c r="H211" s="117"/>
    </row>
    <row r="212" spans="1:8" x14ac:dyDescent="0.3">
      <c r="A212" s="117" t="s">
        <v>369</v>
      </c>
      <c r="B212" s="117"/>
      <c r="C212" s="117"/>
      <c r="D212" s="117"/>
      <c r="E212" s="117"/>
      <c r="F212" s="117"/>
      <c r="G212" s="117"/>
      <c r="H212" s="117"/>
    </row>
    <row r="213" spans="1:8" x14ac:dyDescent="0.3">
      <c r="A213" s="117" t="s">
        <v>370</v>
      </c>
      <c r="B213" s="117"/>
      <c r="C213" s="117"/>
      <c r="D213" s="117"/>
      <c r="E213" s="117"/>
      <c r="F213" s="117"/>
      <c r="G213" s="117"/>
      <c r="H213" s="117"/>
    </row>
    <row r="214" spans="1:8" x14ac:dyDescent="0.3">
      <c r="A214" s="117" t="s">
        <v>371</v>
      </c>
      <c r="B214" s="117"/>
      <c r="C214" s="117"/>
      <c r="D214" s="117"/>
      <c r="E214" s="117"/>
      <c r="F214" s="117"/>
      <c r="G214" s="117"/>
      <c r="H214" s="117"/>
    </row>
    <row r="215" spans="1:8" x14ac:dyDescent="0.3">
      <c r="A215" s="117" t="s">
        <v>372</v>
      </c>
      <c r="B215" s="117"/>
      <c r="C215" s="117"/>
      <c r="D215" s="117"/>
      <c r="E215" s="117"/>
      <c r="F215" s="117"/>
      <c r="G215" s="117"/>
      <c r="H215" s="117"/>
    </row>
    <row r="216" spans="1:8" x14ac:dyDescent="0.3">
      <c r="A216" s="117" t="s">
        <v>373</v>
      </c>
      <c r="B216" s="117"/>
      <c r="C216" s="117"/>
      <c r="D216" s="117"/>
      <c r="E216" s="117"/>
      <c r="F216" s="117"/>
      <c r="G216" s="117"/>
      <c r="H216" s="117"/>
    </row>
    <row r="217" spans="1:8" x14ac:dyDescent="0.3">
      <c r="A217" s="117" t="s">
        <v>374</v>
      </c>
      <c r="B217" s="117"/>
      <c r="C217" s="117"/>
      <c r="D217" s="117"/>
      <c r="E217" s="117"/>
      <c r="F217" s="117"/>
      <c r="G217" s="117"/>
      <c r="H217" s="117"/>
    </row>
    <row r="218" spans="1:8" x14ac:dyDescent="0.3">
      <c r="A218" s="117" t="s">
        <v>253</v>
      </c>
      <c r="B218" s="117"/>
      <c r="C218" s="117"/>
      <c r="D218" s="117"/>
      <c r="E218" s="117"/>
      <c r="F218" s="117"/>
      <c r="G218" s="117"/>
      <c r="H218" s="117"/>
    </row>
    <row r="219" spans="1:8" x14ac:dyDescent="0.3">
      <c r="A219" s="117" t="s">
        <v>375</v>
      </c>
      <c r="B219" s="117"/>
      <c r="C219" s="117"/>
      <c r="D219" s="117"/>
      <c r="E219" s="117"/>
      <c r="F219" s="117"/>
      <c r="G219" s="117"/>
      <c r="H219" s="117"/>
    </row>
    <row r="220" spans="1:8" x14ac:dyDescent="0.3">
      <c r="A220" s="117" t="s">
        <v>342</v>
      </c>
      <c r="B220" s="117"/>
      <c r="C220" s="117"/>
      <c r="D220" s="117"/>
      <c r="E220" s="117"/>
      <c r="F220" s="117"/>
      <c r="G220" s="117"/>
      <c r="H220" s="117"/>
    </row>
    <row r="221" spans="1:8" x14ac:dyDescent="0.3">
      <c r="A221" s="117" t="s">
        <v>212</v>
      </c>
      <c r="B221" s="117"/>
      <c r="C221" s="117"/>
      <c r="D221" s="117"/>
      <c r="E221" s="117"/>
      <c r="F221" s="117"/>
      <c r="G221" s="117"/>
      <c r="H221" s="117"/>
    </row>
    <row r="222" spans="1:8" x14ac:dyDescent="0.3">
      <c r="A222" s="117" t="s">
        <v>376</v>
      </c>
      <c r="B222" s="117"/>
      <c r="C222" s="117"/>
      <c r="D222" s="117"/>
      <c r="E222" s="117"/>
      <c r="F222" s="117"/>
      <c r="G222" s="117"/>
      <c r="H222" s="117"/>
    </row>
    <row r="223" spans="1:8" x14ac:dyDescent="0.3">
      <c r="A223" s="117" t="s">
        <v>377</v>
      </c>
      <c r="B223" s="117"/>
      <c r="C223" s="117"/>
      <c r="D223" s="117"/>
      <c r="E223" s="117"/>
      <c r="F223" s="117"/>
      <c r="G223" s="117"/>
      <c r="H223" s="117"/>
    </row>
    <row r="224" spans="1:8" x14ac:dyDescent="0.3">
      <c r="A224" s="117" t="s">
        <v>378</v>
      </c>
      <c r="B224" s="117"/>
      <c r="C224" s="117"/>
      <c r="D224" s="117"/>
      <c r="E224" s="117"/>
      <c r="F224" s="117"/>
      <c r="G224" s="117"/>
      <c r="H224" s="117"/>
    </row>
    <row r="225" spans="1:8" x14ac:dyDescent="0.3">
      <c r="A225" s="117" t="s">
        <v>379</v>
      </c>
      <c r="B225" s="117"/>
      <c r="C225" s="117"/>
      <c r="D225" s="117"/>
      <c r="E225" s="117"/>
      <c r="F225" s="117"/>
      <c r="G225" s="117"/>
      <c r="H225" s="117"/>
    </row>
    <row r="226" spans="1:8" x14ac:dyDescent="0.3">
      <c r="A226" s="117" t="s">
        <v>380</v>
      </c>
      <c r="B226" s="117"/>
      <c r="C226" s="117"/>
      <c r="D226" s="117"/>
      <c r="E226" s="117"/>
      <c r="F226" s="117"/>
      <c r="G226" s="117"/>
      <c r="H226" s="117"/>
    </row>
    <row r="227" spans="1:8" x14ac:dyDescent="0.3">
      <c r="A227" s="117" t="s">
        <v>381</v>
      </c>
      <c r="B227" s="117"/>
      <c r="C227" s="117"/>
      <c r="D227" s="117"/>
      <c r="E227" s="117"/>
      <c r="F227" s="117"/>
      <c r="G227" s="117"/>
      <c r="H227" s="117"/>
    </row>
    <row r="228" spans="1:8" x14ac:dyDescent="0.3">
      <c r="A228" s="117" t="s">
        <v>382</v>
      </c>
      <c r="B228" s="117"/>
      <c r="C228" s="117"/>
      <c r="D228" s="117"/>
      <c r="E228" s="117"/>
      <c r="F228" s="117"/>
      <c r="G228" s="117"/>
      <c r="H228" s="117"/>
    </row>
    <row r="229" spans="1:8" x14ac:dyDescent="0.3">
      <c r="A229" s="117" t="s">
        <v>383</v>
      </c>
      <c r="B229" s="117"/>
      <c r="C229" s="117"/>
      <c r="D229" s="117"/>
      <c r="E229" s="117"/>
      <c r="F229" s="117"/>
      <c r="G229" s="117"/>
      <c r="H229" s="117"/>
    </row>
    <row r="230" spans="1:8" x14ac:dyDescent="0.3">
      <c r="A230" s="117" t="s">
        <v>384</v>
      </c>
      <c r="B230" s="117"/>
      <c r="C230" s="117"/>
      <c r="D230" s="117"/>
      <c r="E230" s="117"/>
      <c r="F230" s="117"/>
      <c r="G230" s="117"/>
      <c r="H230" s="117"/>
    </row>
    <row r="231" spans="1:8" x14ac:dyDescent="0.3">
      <c r="A231" s="117" t="s">
        <v>385</v>
      </c>
      <c r="B231" s="117"/>
      <c r="C231" s="117"/>
      <c r="D231" s="117"/>
      <c r="E231" s="117"/>
      <c r="F231" s="117"/>
      <c r="G231" s="117"/>
      <c r="H231" s="117"/>
    </row>
    <row r="232" spans="1:8" x14ac:dyDescent="0.3">
      <c r="A232" s="117" t="s">
        <v>386</v>
      </c>
      <c r="B232" s="117"/>
      <c r="C232" s="117"/>
      <c r="D232" s="117"/>
      <c r="E232" s="117"/>
      <c r="F232" s="117"/>
      <c r="G232" s="117"/>
      <c r="H232" s="117"/>
    </row>
    <row r="233" spans="1:8" x14ac:dyDescent="0.3">
      <c r="A233" s="117" t="s">
        <v>387</v>
      </c>
      <c r="B233" s="117"/>
      <c r="C233" s="117"/>
      <c r="D233" s="117"/>
      <c r="E233" s="117"/>
      <c r="F233" s="117"/>
      <c r="G233" s="117"/>
      <c r="H233" s="117"/>
    </row>
    <row r="234" spans="1:8" x14ac:dyDescent="0.3">
      <c r="A234" s="117" t="s">
        <v>388</v>
      </c>
      <c r="B234" s="117"/>
      <c r="C234" s="117"/>
      <c r="D234" s="117"/>
      <c r="E234" s="117"/>
      <c r="F234" s="117"/>
      <c r="G234" s="117"/>
      <c r="H234" s="117"/>
    </row>
    <row r="235" spans="1:8" x14ac:dyDescent="0.3">
      <c r="A235" s="117" t="s">
        <v>242</v>
      </c>
      <c r="B235" s="117"/>
      <c r="C235" s="117"/>
      <c r="D235" s="117"/>
      <c r="E235" s="117"/>
      <c r="F235" s="117"/>
      <c r="G235" s="117"/>
      <c r="H235" s="117"/>
    </row>
    <row r="236" spans="1:8" x14ac:dyDescent="0.3">
      <c r="A236" s="117" t="s">
        <v>389</v>
      </c>
      <c r="B236" s="117"/>
      <c r="C236" s="117"/>
      <c r="D236" s="117"/>
      <c r="E236" s="117"/>
      <c r="F236" s="117"/>
      <c r="G236" s="117"/>
      <c r="H236" s="117"/>
    </row>
    <row r="237" spans="1:8" x14ac:dyDescent="0.3">
      <c r="A237" s="117" t="s">
        <v>322</v>
      </c>
      <c r="B237" s="117"/>
      <c r="C237" s="117"/>
      <c r="D237" s="117"/>
      <c r="E237" s="117"/>
      <c r="F237" s="117"/>
      <c r="G237" s="117"/>
      <c r="H237" s="117"/>
    </row>
    <row r="238" spans="1:8" x14ac:dyDescent="0.3">
      <c r="A238" s="117" t="s">
        <v>212</v>
      </c>
      <c r="B238" s="117"/>
      <c r="C238" s="117"/>
      <c r="D238" s="117"/>
      <c r="E238" s="117"/>
      <c r="F238" s="117"/>
      <c r="G238" s="117"/>
      <c r="H238" s="117"/>
    </row>
    <row r="239" spans="1:8" x14ac:dyDescent="0.3">
      <c r="A239" s="117" t="s">
        <v>390</v>
      </c>
      <c r="B239" s="117"/>
      <c r="C239" s="117"/>
      <c r="D239" s="117"/>
      <c r="E239" s="117"/>
      <c r="F239" s="117"/>
      <c r="G239" s="117"/>
      <c r="H239" s="117"/>
    </row>
    <row r="240" spans="1:8" x14ac:dyDescent="0.3">
      <c r="A240" s="117" t="s">
        <v>391</v>
      </c>
      <c r="B240" s="117"/>
      <c r="C240" s="117"/>
      <c r="D240" s="117"/>
      <c r="E240" s="117"/>
      <c r="F240" s="117"/>
      <c r="G240" s="117"/>
      <c r="H240" s="117"/>
    </row>
    <row r="241" spans="1:8" x14ac:dyDescent="0.3">
      <c r="A241" s="117" t="s">
        <v>336</v>
      </c>
      <c r="B241" s="117"/>
      <c r="C241" s="117"/>
      <c r="D241" s="117"/>
      <c r="E241" s="117"/>
      <c r="F241" s="117"/>
      <c r="G241" s="117"/>
      <c r="H241" s="117"/>
    </row>
    <row r="242" spans="1:8" x14ac:dyDescent="0.3">
      <c r="A242" s="117" t="s">
        <v>392</v>
      </c>
      <c r="B242" s="117"/>
      <c r="C242" s="117"/>
      <c r="D242" s="117"/>
      <c r="E242" s="117"/>
      <c r="F242" s="117"/>
      <c r="G242" s="117"/>
      <c r="H242" s="117"/>
    </row>
    <row r="243" spans="1:8" x14ac:dyDescent="0.3">
      <c r="A243" s="117" t="s">
        <v>338</v>
      </c>
      <c r="B243" s="117"/>
      <c r="C243" s="117"/>
      <c r="D243" s="117"/>
      <c r="E243" s="117"/>
      <c r="F243" s="117"/>
      <c r="G243" s="117"/>
      <c r="H243" s="117"/>
    </row>
    <row r="244" spans="1:8" x14ac:dyDescent="0.3">
      <c r="A244" s="117" t="s">
        <v>345</v>
      </c>
      <c r="B244" s="117"/>
      <c r="C244" s="117"/>
      <c r="D244" s="117"/>
      <c r="E244" s="117"/>
      <c r="F244" s="117"/>
      <c r="G244" s="117"/>
      <c r="H244" s="117"/>
    </row>
    <row r="245" spans="1:8" x14ac:dyDescent="0.3">
      <c r="A245" s="117" t="s">
        <v>393</v>
      </c>
      <c r="B245" s="117"/>
      <c r="C245" s="117"/>
      <c r="D245" s="117"/>
      <c r="E245" s="117"/>
      <c r="F245" s="117"/>
      <c r="G245" s="117"/>
      <c r="H245" s="117"/>
    </row>
    <row r="246" spans="1:8" x14ac:dyDescent="0.3">
      <c r="A246" s="117" t="s">
        <v>394</v>
      </c>
      <c r="B246" s="117"/>
      <c r="C246" s="117"/>
      <c r="D246" s="117"/>
      <c r="E246" s="117"/>
      <c r="F246" s="117"/>
      <c r="G246" s="117"/>
      <c r="H246" s="117"/>
    </row>
    <row r="247" spans="1:8" x14ac:dyDescent="0.3">
      <c r="A247" s="117" t="s">
        <v>395</v>
      </c>
      <c r="B247" s="117"/>
      <c r="C247" s="117"/>
      <c r="D247" s="117"/>
      <c r="E247" s="117"/>
      <c r="F247" s="117"/>
      <c r="G247" s="117"/>
      <c r="H247" s="117"/>
    </row>
    <row r="248" spans="1:8" x14ac:dyDescent="0.3">
      <c r="A248" s="117" t="s">
        <v>396</v>
      </c>
      <c r="B248" s="117"/>
      <c r="C248" s="117"/>
      <c r="D248" s="117"/>
      <c r="E248" s="117"/>
      <c r="F248" s="117"/>
      <c r="G248" s="117"/>
      <c r="H248" s="117"/>
    </row>
    <row r="249" spans="1:8" x14ac:dyDescent="0.3">
      <c r="A249" s="117" t="s">
        <v>242</v>
      </c>
      <c r="B249" s="117"/>
      <c r="C249" s="117"/>
      <c r="D249" s="117"/>
      <c r="E249" s="117"/>
      <c r="F249" s="117"/>
      <c r="G249" s="117"/>
      <c r="H249" s="117"/>
    </row>
    <row r="250" spans="1:8" x14ac:dyDescent="0.3">
      <c r="A250" s="117" t="s">
        <v>340</v>
      </c>
      <c r="B250" s="117"/>
      <c r="C250" s="117"/>
      <c r="D250" s="117"/>
      <c r="E250" s="117"/>
      <c r="F250" s="117"/>
      <c r="G250" s="117"/>
      <c r="H250" s="117"/>
    </row>
    <row r="251" spans="1:8" x14ac:dyDescent="0.3">
      <c r="A251" s="117" t="s">
        <v>397</v>
      </c>
      <c r="B251" s="117"/>
      <c r="C251" s="117"/>
      <c r="D251" s="117"/>
      <c r="E251" s="117"/>
      <c r="F251" s="117"/>
      <c r="G251" s="117"/>
      <c r="H251" s="117"/>
    </row>
    <row r="252" spans="1:8" x14ac:dyDescent="0.3">
      <c r="A252" s="117" t="s">
        <v>398</v>
      </c>
      <c r="B252" s="117"/>
      <c r="C252" s="117"/>
      <c r="D252" s="117"/>
      <c r="E252" s="117"/>
      <c r="F252" s="117"/>
      <c r="G252" s="117"/>
      <c r="H252" s="117"/>
    </row>
    <row r="253" spans="1:8" x14ac:dyDescent="0.3">
      <c r="A253" s="117" t="s">
        <v>253</v>
      </c>
      <c r="B253" s="117"/>
      <c r="C253" s="117"/>
      <c r="D253" s="117"/>
      <c r="E253" s="117"/>
      <c r="F253" s="117"/>
      <c r="G253" s="117"/>
      <c r="H253" s="117"/>
    </row>
    <row r="254" spans="1:8" x14ac:dyDescent="0.3">
      <c r="A254" s="117" t="s">
        <v>399</v>
      </c>
      <c r="B254" s="117"/>
      <c r="C254" s="117"/>
      <c r="D254" s="117"/>
      <c r="E254" s="117"/>
      <c r="F254" s="117"/>
      <c r="G254" s="117"/>
      <c r="H254" s="117"/>
    </row>
    <row r="255" spans="1:8" x14ac:dyDescent="0.3">
      <c r="A255" s="117" t="s">
        <v>342</v>
      </c>
      <c r="B255" s="117"/>
      <c r="C255" s="117"/>
      <c r="D255" s="117"/>
      <c r="E255" s="117"/>
      <c r="F255" s="117"/>
      <c r="G255" s="117"/>
      <c r="H255" s="117"/>
    </row>
    <row r="256" spans="1:8" x14ac:dyDescent="0.3">
      <c r="A256" s="117" t="s">
        <v>212</v>
      </c>
      <c r="B256" s="117"/>
      <c r="C256" s="117"/>
      <c r="D256" s="117"/>
      <c r="E256" s="117"/>
      <c r="F256" s="117"/>
      <c r="G256" s="117"/>
      <c r="H256" s="117"/>
    </row>
    <row r="257" spans="1:8" x14ac:dyDescent="0.3">
      <c r="A257" s="117" t="s">
        <v>400</v>
      </c>
      <c r="B257" s="117"/>
      <c r="C257" s="117"/>
      <c r="D257" s="117"/>
      <c r="E257" s="117"/>
      <c r="F257" s="117"/>
      <c r="G257" s="117"/>
      <c r="H257" s="117"/>
    </row>
    <row r="258" spans="1:8" x14ac:dyDescent="0.3">
      <c r="A258" s="117" t="s">
        <v>336</v>
      </c>
      <c r="B258" s="117"/>
      <c r="C258" s="117"/>
      <c r="D258" s="117"/>
      <c r="E258" s="117"/>
      <c r="F258" s="117"/>
      <c r="G258" s="117"/>
      <c r="H258" s="117"/>
    </row>
    <row r="259" spans="1:8" x14ac:dyDescent="0.3">
      <c r="A259" s="117" t="s">
        <v>392</v>
      </c>
      <c r="B259" s="117"/>
      <c r="C259" s="117"/>
      <c r="D259" s="117"/>
      <c r="E259" s="117"/>
      <c r="F259" s="117"/>
      <c r="G259" s="117"/>
      <c r="H259" s="117"/>
    </row>
    <row r="260" spans="1:8" x14ac:dyDescent="0.3">
      <c r="A260" s="117" t="s">
        <v>338</v>
      </c>
      <c r="B260" s="117"/>
      <c r="C260" s="117"/>
      <c r="D260" s="117"/>
      <c r="E260" s="117"/>
      <c r="F260" s="117"/>
      <c r="G260" s="117"/>
      <c r="H260" s="117"/>
    </row>
    <row r="261" spans="1:8" x14ac:dyDescent="0.3">
      <c r="A261" s="117" t="s">
        <v>345</v>
      </c>
      <c r="B261" s="117"/>
      <c r="C261" s="117"/>
      <c r="D261" s="117"/>
      <c r="E261" s="117"/>
      <c r="F261" s="117"/>
      <c r="G261" s="117"/>
      <c r="H261" s="117"/>
    </row>
    <row r="262" spans="1:8" x14ac:dyDescent="0.3">
      <c r="A262" s="117" t="s">
        <v>393</v>
      </c>
      <c r="B262" s="117"/>
      <c r="C262" s="117"/>
      <c r="D262" s="117"/>
      <c r="E262" s="117"/>
      <c r="F262" s="117"/>
      <c r="G262" s="117"/>
      <c r="H262" s="117"/>
    </row>
    <row r="263" spans="1:8" x14ac:dyDescent="0.3">
      <c r="A263" s="117" t="s">
        <v>394</v>
      </c>
      <c r="B263" s="117"/>
      <c r="C263" s="117"/>
      <c r="D263" s="117"/>
      <c r="E263" s="117"/>
      <c r="F263" s="117"/>
      <c r="G263" s="117"/>
      <c r="H263" s="117"/>
    </row>
    <row r="264" spans="1:8" x14ac:dyDescent="0.3">
      <c r="A264" s="117" t="s">
        <v>401</v>
      </c>
      <c r="B264" s="117"/>
      <c r="C264" s="117"/>
      <c r="D264" s="117"/>
      <c r="E264" s="117"/>
      <c r="F264" s="117"/>
      <c r="G264" s="117"/>
      <c r="H264" s="117"/>
    </row>
    <row r="265" spans="1:8" x14ac:dyDescent="0.3">
      <c r="A265" s="117" t="s">
        <v>396</v>
      </c>
      <c r="B265" s="117"/>
      <c r="C265" s="117"/>
      <c r="D265" s="117"/>
      <c r="E265" s="117"/>
      <c r="F265" s="117"/>
      <c r="G265" s="117"/>
      <c r="H265" s="117"/>
    </row>
    <row r="266" spans="1:8" x14ac:dyDescent="0.3">
      <c r="A266" s="117" t="s">
        <v>242</v>
      </c>
      <c r="B266" s="117"/>
      <c r="C266" s="117"/>
      <c r="D266" s="117"/>
      <c r="E266" s="117"/>
      <c r="F266" s="117"/>
      <c r="G266" s="117"/>
      <c r="H266" s="117"/>
    </row>
    <row r="267" spans="1:8" x14ac:dyDescent="0.3">
      <c r="A267" s="117" t="s">
        <v>340</v>
      </c>
      <c r="B267" s="117"/>
      <c r="C267" s="117"/>
      <c r="D267" s="117"/>
      <c r="E267" s="117"/>
      <c r="F267" s="117"/>
      <c r="G267" s="117"/>
      <c r="H267" s="117"/>
    </row>
    <row r="268" spans="1:8" x14ac:dyDescent="0.3">
      <c r="A268" s="117" t="s">
        <v>322</v>
      </c>
      <c r="B268" s="117"/>
      <c r="C268" s="117"/>
      <c r="D268" s="117"/>
      <c r="E268" s="117"/>
      <c r="F268" s="117"/>
      <c r="G268" s="117"/>
      <c r="H268" s="117"/>
    </row>
    <row r="269" spans="1:8" x14ac:dyDescent="0.3">
      <c r="A269" s="117" t="s">
        <v>212</v>
      </c>
      <c r="B269" s="117"/>
      <c r="C269" s="117"/>
      <c r="D269" s="117"/>
      <c r="E269" s="117"/>
      <c r="F269" s="117"/>
      <c r="G269" s="117"/>
      <c r="H269" s="117"/>
    </row>
    <row r="270" spans="1:8" x14ac:dyDescent="0.3">
      <c r="A270" s="117" t="s">
        <v>402</v>
      </c>
      <c r="B270" s="117"/>
      <c r="C270" s="117"/>
      <c r="D270" s="117"/>
      <c r="E270" s="117"/>
      <c r="F270" s="117"/>
      <c r="G270" s="117"/>
      <c r="H270" s="117"/>
    </row>
    <row r="271" spans="1:8" x14ac:dyDescent="0.3">
      <c r="A271" s="117" t="s">
        <v>214</v>
      </c>
      <c r="B271" s="117"/>
      <c r="C271" s="117"/>
      <c r="D271" s="117"/>
      <c r="E271" s="117"/>
      <c r="F271" s="117"/>
      <c r="G271" s="117"/>
      <c r="H271" s="117"/>
    </row>
    <row r="272" spans="1:8" x14ac:dyDescent="0.3">
      <c r="A272" s="117" t="s">
        <v>403</v>
      </c>
      <c r="B272" s="117"/>
      <c r="C272" s="117"/>
      <c r="D272" s="117"/>
      <c r="E272" s="117"/>
      <c r="F272" s="117"/>
      <c r="G272" s="117"/>
      <c r="H272" s="117"/>
    </row>
    <row r="273" spans="1:8" x14ac:dyDescent="0.3">
      <c r="A273" s="117" t="s">
        <v>273</v>
      </c>
      <c r="B273" s="117"/>
      <c r="C273" s="117"/>
      <c r="D273" s="117"/>
      <c r="E273" s="117"/>
      <c r="F273" s="117"/>
      <c r="G273" s="117"/>
      <c r="H273" s="117"/>
    </row>
    <row r="274" spans="1:8" x14ac:dyDescent="0.3">
      <c r="A274" s="117" t="s">
        <v>404</v>
      </c>
      <c r="B274" s="117"/>
      <c r="C274" s="117"/>
      <c r="D274" s="117"/>
      <c r="E274" s="117"/>
      <c r="F274" s="117"/>
      <c r="G274" s="117"/>
      <c r="H274" s="117"/>
    </row>
    <row r="275" spans="1:8" x14ac:dyDescent="0.3">
      <c r="A275" s="117" t="s">
        <v>243</v>
      </c>
      <c r="B275" s="117"/>
      <c r="C275" s="117"/>
      <c r="D275" s="117"/>
      <c r="E275" s="117"/>
      <c r="F275" s="117"/>
      <c r="G275" s="117"/>
      <c r="H275" s="117"/>
    </row>
    <row r="276" spans="1:8" x14ac:dyDescent="0.3">
      <c r="A276" s="117" t="s">
        <v>322</v>
      </c>
      <c r="B276" s="117"/>
      <c r="C276" s="117"/>
      <c r="D276" s="117"/>
      <c r="E276" s="117"/>
      <c r="F276" s="117"/>
      <c r="G276" s="117"/>
      <c r="H276" s="117"/>
    </row>
    <row r="277" spans="1:8" x14ac:dyDescent="0.3">
      <c r="A277" s="117" t="s">
        <v>212</v>
      </c>
      <c r="B277" s="117"/>
      <c r="C277" s="117"/>
      <c r="D277" s="117"/>
      <c r="E277" s="117"/>
      <c r="F277" s="117"/>
      <c r="G277" s="117"/>
      <c r="H277" s="117"/>
    </row>
    <row r="278" spans="1:8" x14ac:dyDescent="0.3">
      <c r="A278" s="117" t="s">
        <v>405</v>
      </c>
      <c r="B278" s="117"/>
      <c r="C278" s="117"/>
      <c r="D278" s="117"/>
      <c r="E278" s="117"/>
      <c r="F278" s="117"/>
      <c r="G278" s="117"/>
      <c r="H278" s="117"/>
    </row>
    <row r="279" spans="1:8" x14ac:dyDescent="0.3">
      <c r="A279" s="117" t="s">
        <v>214</v>
      </c>
      <c r="B279" s="117"/>
      <c r="C279" s="117"/>
      <c r="D279" s="117"/>
      <c r="E279" s="117"/>
      <c r="F279" s="117"/>
      <c r="G279" s="117"/>
      <c r="H279" s="117"/>
    </row>
    <row r="280" spans="1:8" x14ac:dyDescent="0.3">
      <c r="A280" s="117" t="s">
        <v>406</v>
      </c>
      <c r="B280" s="117"/>
      <c r="C280" s="117"/>
      <c r="D280" s="117"/>
      <c r="E280" s="117"/>
      <c r="F280" s="117"/>
      <c r="G280" s="117"/>
      <c r="H280" s="117"/>
    </row>
    <row r="281" spans="1:8" x14ac:dyDescent="0.3">
      <c r="A281" s="117" t="s">
        <v>403</v>
      </c>
      <c r="B281" s="117"/>
      <c r="C281" s="117"/>
      <c r="D281" s="117"/>
      <c r="E281" s="117"/>
      <c r="F281" s="117"/>
      <c r="G281" s="117"/>
      <c r="H281" s="117"/>
    </row>
    <row r="282" spans="1:8" x14ac:dyDescent="0.3">
      <c r="A282" s="117" t="s">
        <v>273</v>
      </c>
      <c r="B282" s="117"/>
      <c r="C282" s="117"/>
      <c r="D282" s="117"/>
      <c r="E282" s="117"/>
      <c r="F282" s="117"/>
      <c r="G282" s="117"/>
      <c r="H282" s="117"/>
    </row>
    <row r="283" spans="1:8" x14ac:dyDescent="0.3">
      <c r="A283" s="117" t="s">
        <v>404</v>
      </c>
      <c r="B283" s="117"/>
      <c r="C283" s="117"/>
      <c r="D283" s="117"/>
      <c r="E283" s="117"/>
      <c r="F283" s="117"/>
      <c r="G283" s="117"/>
      <c r="H283" s="117"/>
    </row>
    <row r="284" spans="1:8" x14ac:dyDescent="0.3">
      <c r="A284" s="117" t="s">
        <v>243</v>
      </c>
      <c r="B284" s="117"/>
      <c r="C284" s="117"/>
      <c r="D284" s="117"/>
      <c r="E284" s="117"/>
      <c r="F284" s="117"/>
      <c r="G284" s="117"/>
      <c r="H284" s="117"/>
    </row>
    <row r="285" spans="1:8" x14ac:dyDescent="0.3">
      <c r="A285" s="117" t="s">
        <v>407</v>
      </c>
      <c r="B285" s="117"/>
      <c r="C285" s="117"/>
      <c r="D285" s="117"/>
      <c r="E285" s="117"/>
      <c r="F285" s="117"/>
      <c r="G285" s="117"/>
      <c r="H285" s="117"/>
    </row>
    <row r="286" spans="1:8" x14ac:dyDescent="0.3">
      <c r="A286" s="117" t="s">
        <v>408</v>
      </c>
      <c r="B286" s="117"/>
      <c r="C286" s="117"/>
      <c r="D286" s="117"/>
      <c r="E286" s="117"/>
      <c r="F286" s="117"/>
      <c r="G286" s="117"/>
      <c r="H286" s="117"/>
    </row>
    <row r="287" spans="1:8" x14ac:dyDescent="0.3">
      <c r="A287" s="117" t="s">
        <v>409</v>
      </c>
      <c r="B287" s="117"/>
      <c r="C287" s="117"/>
      <c r="D287" s="117"/>
      <c r="E287" s="117"/>
      <c r="F287" s="117"/>
      <c r="G287" s="117"/>
      <c r="H287" s="117"/>
    </row>
    <row r="288" spans="1:8" x14ac:dyDescent="0.3">
      <c r="A288" s="117" t="s">
        <v>243</v>
      </c>
      <c r="B288" s="117"/>
      <c r="C288" s="117"/>
      <c r="D288" s="117"/>
      <c r="E288" s="117"/>
      <c r="F288" s="117"/>
      <c r="G288" s="117"/>
      <c r="H288" s="117"/>
    </row>
    <row r="289" spans="1:8" x14ac:dyDescent="0.3">
      <c r="A289" s="117" t="s">
        <v>410</v>
      </c>
      <c r="B289" s="117"/>
      <c r="C289" s="117"/>
      <c r="D289" s="117"/>
      <c r="E289" s="117"/>
      <c r="F289" s="117"/>
      <c r="G289" s="117"/>
      <c r="H289" s="117"/>
    </row>
    <row r="290" spans="1:8" x14ac:dyDescent="0.3">
      <c r="A290" s="117" t="s">
        <v>322</v>
      </c>
      <c r="B290" s="117"/>
      <c r="C290" s="117"/>
      <c r="D290" s="117"/>
      <c r="E290" s="117"/>
      <c r="F290" s="117"/>
      <c r="G290" s="117"/>
      <c r="H290" s="117"/>
    </row>
    <row r="291" spans="1:8" x14ac:dyDescent="0.3">
      <c r="A291" s="117" t="s">
        <v>212</v>
      </c>
      <c r="B291" s="117"/>
      <c r="C291" s="117"/>
      <c r="D291" s="117"/>
      <c r="E291" s="117"/>
      <c r="F291" s="117"/>
      <c r="G291" s="117"/>
      <c r="H291" s="117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Planner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2026-06-19T04:03:31Z</dcterms:modified>
  <dc:language>en-US</dc:language>
</cp:coreProperties>
</file>