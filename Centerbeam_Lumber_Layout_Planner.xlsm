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B66A9F57-BA53-47BC-84C0-DE103E2BE0EC}" xr6:coauthVersionLast="47" xr6:coauthVersionMax="47" xr10:uidLastSave="{00000000-0000-0000-0000-000000000000}"/>
  <bookViews>
    <workbookView xWindow="3084" yWindow="3936" windowWidth="34560" windowHeight="18600" tabRatio="500" activeTab="1" xr2:uid="{00000000-000D-0000-FFFF-FFFF00000000}"/>
  </bookViews>
  <sheets>
    <sheet name="Planner" sheetId="1" r:id="rId1"/>
    <sheet name="Manifest" sheetId="2" r:id="rId2"/>
    <sheet name="How to Use" sheetId="5" r:id="rId3"/>
    <sheet name="Pattern Library" sheetId="3" r:id="rId4"/>
    <sheet name="Auto-Solve (VBA)" sheetId="4" r:id="rId5"/>
  </sheets>
  <definedNames>
    <definedName name="_xlnm.Print_Area" localSheetId="1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54" i="2" l="1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L47" i="1"/>
  <c r="K47" i="1"/>
  <c r="L46" i="1"/>
  <c r="K46" i="1"/>
  <c r="L45" i="1"/>
  <c r="K45" i="1"/>
  <c r="L44" i="1"/>
  <c r="K44" i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<sst xmlns="http://schemas.openxmlformats.org/spreadsheetml/2006/main" count="691" uniqueCount="492">
  <si>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</si>
  <si>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</si>
  <si>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</si>
  <si>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Number of Rows: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</si>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</sst>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51" x14ac:knownFonts="1">
    <font>
      <sz val="11"/>
      <color theme="1"/>
      <name val="Calibri"/>
      <family val="2"/>
      <charset val="1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</fonts>
  <fills count="27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</fills>
  <borders count="32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4" fillId="0" borderId="0" xfId="0" applyFont="1"/>
    <xf numFmtId="0" fontId="5" fillId="3" borderId="1" xfId="0" applyFont="1" applyFill="1" applyBorder="1" applyAlignment="1">
      <alignment horizontal="center" vertical="center"/>
    </xf>
    <xf numFmtId="0" fontId="6" fillId="0" borderId="0" xfId="0" applyFont="1"/>
    <xf numFmtId="0" fontId="7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/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64" fontId="0" fillId="0" borderId="0" xfId="0" applyNumberFormat="1"/>
    <xf numFmtId="0" fontId="15" fillId="0" borderId="0" xfId="0" applyFont="1"/>
    <xf numFmtId="0" fontId="17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5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3" fillId="0" borderId="0" xfId="0" applyFont="1"/>
    <xf numFmtId="0" fontId="6" fillId="0" borderId="15" xfId="0" applyFont="1" applyBorder="1" applyAlignment="1">
      <alignment horizontal="center" vertical="center"/>
    </xf>
    <xf numFmtId="0" fontId="32" fillId="7" borderId="16" xfId="0" applyFont="1" applyFill="1" applyBorder="1" applyAlignment="1">
      <alignment horizontal="center"/>
    </xf>
    <xf numFmtId="0" fontId="36" fillId="10" borderId="1" xfId="0" applyFont="1" applyFill="1" applyBorder="1" applyAlignment="1">
      <alignment horizontal="center" vertical="center"/>
    </xf>
    <xf numFmtId="0" fontId="37" fillId="0" borderId="0" xfId="0" applyFont="1" applyAlignment="1">
      <alignment vertical="top" wrapText="1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11" borderId="0" xfId="0" applyFont="1" applyFill="1" applyAlignment="1">
      <alignment vertical="top" wrapText="1"/>
    </xf>
    <xf numFmtId="0" fontId="37" fillId="0" borderId="0" xfId="0" applyFont="1" applyAlignment="1">
      <alignment horizontal="left" vertical="top" wrapText="1" indent="1"/>
    </xf>
    <xf numFmtId="0" fontId="41" fillId="0" borderId="0" xfId="0" applyFont="1" applyAlignment="1">
      <alignment vertical="top" wrapText="1"/>
    </xf>
    <xf numFmtId="0" fontId="42" fillId="0" borderId="0" xfId="0" applyFont="1" applyAlignment="1">
      <alignment horizontal="left" vertical="top" wrapText="1" indent="1"/>
    </xf>
    <xf numFmtId="0" fontId="43" fillId="12" borderId="1" xfId="0" applyFont="1" applyFill="1" applyBorder="1" applyAlignment="1">
      <alignment horizontal="center" vertical="center"/>
    </xf>
    <xf numFmtId="0" fontId="43" fillId="13" borderId="1" xfId="0" applyFont="1" applyFill="1" applyBorder="1" applyAlignment="1">
      <alignment horizontal="center" vertical="center"/>
    </xf>
    <xf numFmtId="0" fontId="43" fillId="14" borderId="1" xfId="0" applyFont="1" applyFill="1" applyBorder="1" applyAlignment="1">
      <alignment horizontal="center" vertical="center"/>
    </xf>
    <xf numFmtId="0" fontId="43" fillId="15" borderId="1" xfId="0" applyFont="1" applyFill="1" applyBorder="1" applyAlignment="1">
      <alignment horizontal="center" vertical="center"/>
    </xf>
    <xf numFmtId="0" fontId="43" fillId="16" borderId="1" xfId="0" applyFont="1" applyFill="1" applyBorder="1" applyAlignment="1">
      <alignment horizontal="center" vertical="center"/>
    </xf>
    <xf numFmtId="0" fontId="43" fillId="17" borderId="1" xfId="0" applyFont="1" applyFill="1" applyBorder="1" applyAlignment="1">
      <alignment horizontal="center" vertical="center"/>
    </xf>
    <xf numFmtId="0" fontId="43" fillId="18" borderId="1" xfId="0" applyFont="1" applyFill="1" applyBorder="1" applyAlignment="1">
      <alignment horizontal="center" vertical="center"/>
    </xf>
    <xf numFmtId="0" fontId="44" fillId="5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16" fillId="19" borderId="1" xfId="0" applyFont="1" applyFill="1" applyBorder="1" applyAlignment="1">
      <alignment horizontal="center" vertical="center"/>
    </xf>
    <xf numFmtId="0" fontId="16" fillId="20" borderId="1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6" fillId="22" borderId="1" xfId="0" applyFont="1" applyFill="1" applyBorder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16" fillId="24" borderId="1" xfId="0" applyFont="1" applyFill="1" applyBorder="1" applyAlignment="1">
      <alignment horizontal="center" vertical="center"/>
    </xf>
    <xf numFmtId="0" fontId="16" fillId="25" borderId="1" xfId="0" applyFont="1" applyFill="1" applyBorder="1" applyAlignment="1">
      <alignment horizontal="center" vertical="center"/>
    </xf>
    <xf numFmtId="0" fontId="50" fillId="14" borderId="1" xfId="0" applyFont="1" applyFill="1" applyBorder="1" applyAlignment="1">
      <alignment horizontal="center" vertical="center"/>
    </xf>
    <xf numFmtId="0" fontId="50" fillId="18" borderId="1" xfId="0" applyFont="1" applyFill="1" applyBorder="1" applyAlignment="1">
      <alignment horizontal="center" vertical="center"/>
    </xf>
    <xf numFmtId="0" fontId="50" fillId="15" borderId="1" xfId="0" applyFont="1" applyFill="1" applyBorder="1" applyAlignment="1">
      <alignment horizontal="center" vertical="center"/>
    </xf>
    <xf numFmtId="0" fontId="50" fillId="17" borderId="1" xfId="0" applyFont="1" applyFill="1" applyBorder="1" applyAlignment="1">
      <alignment horizontal="center" vertical="center"/>
    </xf>
    <xf numFmtId="0" fontId="50" fillId="16" borderId="1" xfId="0" applyFont="1" applyFill="1" applyBorder="1" applyAlignment="1">
      <alignment horizontal="center" vertical="center"/>
    </xf>
    <xf numFmtId="0" fontId="50" fillId="12" borderId="1" xfId="0" applyFont="1" applyFill="1" applyBorder="1" applyAlignment="1">
      <alignment horizontal="center" vertical="center"/>
    </xf>
    <xf numFmtId="0" fontId="50" fillId="13" borderId="1" xfId="0" applyFont="1" applyFill="1" applyBorder="1" applyAlignment="1">
      <alignment horizontal="center" vertical="center"/>
    </xf>
    <xf numFmtId="0" fontId="14" fillId="0" borderId="25" xfId="0" applyFont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14" fillId="0" borderId="27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29" xfId="0" applyFont="1" applyBorder="1" applyAlignment="1">
      <alignment horizontal="center" vertical="center"/>
    </xf>
    <xf numFmtId="0" fontId="14" fillId="0" borderId="30" xfId="0" applyFont="1" applyBorder="1" applyAlignment="1">
      <alignment horizontal="center" vertical="center"/>
    </xf>
    <xf numFmtId="0" fontId="14" fillId="0" borderId="31" xfId="0" applyFont="1" applyBorder="1" applyAlignment="1">
      <alignment horizontal="center" vertical="center"/>
    </xf>
    <xf numFmtId="0" fontId="44" fillId="26" borderId="1" xfId="0" applyFont="1" applyFill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3" fillId="2" borderId="0" xfId="0" applyFont="1" applyFill="1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left" vertical="center"/>
    </xf>
    <xf numFmtId="0" fontId="34" fillId="8" borderId="18" xfId="0" applyFont="1" applyFill="1" applyBorder="1" applyAlignment="1">
      <alignment horizontal="center"/>
    </xf>
    <xf numFmtId="0" fontId="34" fillId="8" borderId="19" xfId="0" applyFont="1" applyFill="1" applyBorder="1" applyAlignment="1">
      <alignment horizontal="center"/>
    </xf>
    <xf numFmtId="0" fontId="34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2" fillId="9" borderId="0" xfId="0" applyFont="1" applyFill="1" applyAlignment="1">
      <alignment horizontal="center"/>
    </xf>
    <xf numFmtId="0" fontId="32" fillId="9" borderId="23" xfId="0" applyFont="1" applyFill="1" applyBorder="1" applyAlignment="1">
      <alignment horizontal="center"/>
    </xf>
    <xf numFmtId="0" fontId="35" fillId="0" borderId="20" xfId="0" applyFont="1" applyBorder="1"/>
    <xf numFmtId="0" fontId="35" fillId="0" borderId="21" xfId="0" applyFont="1" applyBorder="1"/>
    <xf numFmtId="0" fontId="35" fillId="0" borderId="24" xfId="0" applyFont="1" applyBorder="1"/>
    <xf numFmtId="0" fontId="10" fillId="0" borderId="0" xfId="0" applyFont="1"/>
    <xf numFmtId="0" fontId="10" fillId="0" borderId="1" xfId="0" applyFont="1" applyBorder="1" applyAlignment="1">
      <alignment horizontal="center" vertical="center"/>
    </xf>
    <xf numFmtId="0" fontId="4" fillId="0" borderId="0" xfId="0" applyFont="1"/>
    <xf numFmtId="0" fontId="4" fillId="0" borderId="1" xfId="0" applyFont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0" fontId="31" fillId="6" borderId="0" xfId="0" applyFont="1" applyFill="1"/>
  </cellXfs>
  <cellStyles count="1">
    <cellStyle name="Normal" xfId="0" builtinId="0"/>
  </cellStyles>
  <dxfs count="26"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574040</xdr:colOff>
      <xdr:row>13</xdr:row>
      <xdr:rowOff>96520</xdr:rowOff>
    </xdr:to>
    <xdr:sp macro="RedrawManifestButton" textlink="">
      <xdr:nvSpPr>
        <xdr:cNvPr id="5" name="btn_redraw">
          <a:extLst>
            <a:ext uri="{FF2B5EF4-FFF2-40B4-BE49-F238E27FC236}">
              <a16:creationId xmlns:a16="http://schemas.microsoft.com/office/drawing/2014/main" id="{E51F12DE-8C71-F2D4-16C2-D23ADB248BFF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11</xdr:col>
      <xdr:colOff>713740</xdr:colOff>
      <xdr:row>13</xdr:row>
      <xdr:rowOff>177800</xdr:rowOff>
    </xdr:to>
    <xdr:sp macro="" textlink="">
      <xdr:nvSpPr>
        <xdr:cNvPr id="6" name="diag_1">
          <a:extLst>
            <a:ext uri="{FF2B5EF4-FFF2-40B4-BE49-F238E27FC236}">
              <a16:creationId xmlns:a16="http://schemas.microsoft.com/office/drawing/2014/main" id="{CF83C300-38DE-697C-95F9-5049A210658D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tiers 1-5</a:t>
          </a:r>
        </a:p>
      </xdr:txBody>
    </xdr:sp>
    <xdr:clientData/>
  </xdr:twoCellAnchor>
  <xdr:twoCellAnchor>
    <xdr:from>
      <xdr:col>0</xdr:col>
      <xdr:colOff>190500</xdr:colOff>
      <xdr:row>13</xdr:row>
      <xdr:rowOff>177800</xdr:rowOff>
    </xdr:from>
    <xdr:to>
      <xdr:col>0</xdr:col>
      <xdr:colOff>520700</xdr:colOff>
      <xdr:row>14</xdr:row>
      <xdr:rowOff>81280</xdr:rowOff>
    </xdr:to>
    <xdr:sp macro="" textlink="">
      <xdr:nvSpPr>
        <xdr:cNvPr id="7" name="diag_2">
          <a:extLst>
            <a:ext uri="{FF2B5EF4-FFF2-40B4-BE49-F238E27FC236}">
              <a16:creationId xmlns:a16="http://schemas.microsoft.com/office/drawing/2014/main" id="{634463BC-25C9-8E0C-8C31-DEE9336A3E46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177800</xdr:rowOff>
    </xdr:from>
    <xdr:to>
      <xdr:col>2</xdr:col>
      <xdr:colOff>546100</xdr:colOff>
      <xdr:row>14</xdr:row>
      <xdr:rowOff>81280</xdr:rowOff>
    </xdr:to>
    <xdr:sp macro="" textlink="">
      <xdr:nvSpPr>
        <xdr:cNvPr id="8" name="diag_3">
          <a:extLst>
            <a:ext uri="{FF2B5EF4-FFF2-40B4-BE49-F238E27FC236}">
              <a16:creationId xmlns:a16="http://schemas.microsoft.com/office/drawing/2014/main" id="{FB46D672-8A38-685B-1CA5-808F621985CE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13</xdr:row>
      <xdr:rowOff>177800</xdr:rowOff>
    </xdr:from>
    <xdr:to>
      <xdr:col>4</xdr:col>
      <xdr:colOff>434340</xdr:colOff>
      <xdr:row>14</xdr:row>
      <xdr:rowOff>81280</xdr:rowOff>
    </xdr:to>
    <xdr:sp macro="" textlink="">
      <xdr:nvSpPr>
        <xdr:cNvPr id="9" name="diag_4">
          <a:extLst>
            <a:ext uri="{FF2B5EF4-FFF2-40B4-BE49-F238E27FC236}">
              <a16:creationId xmlns:a16="http://schemas.microsoft.com/office/drawing/2014/main" id="{58895464-60FA-5DFC-7769-B977939A2B45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177800</xdr:rowOff>
    </xdr:from>
    <xdr:to>
      <xdr:col>6</xdr:col>
      <xdr:colOff>185420</xdr:colOff>
      <xdr:row>14</xdr:row>
      <xdr:rowOff>81280</xdr:rowOff>
    </xdr:to>
    <xdr:sp macro="" textlink="">
      <xdr:nvSpPr>
        <xdr:cNvPr id="10" name="diag_5">
          <a:extLst>
            <a:ext uri="{FF2B5EF4-FFF2-40B4-BE49-F238E27FC236}">
              <a16:creationId xmlns:a16="http://schemas.microsoft.com/office/drawing/2014/main" id="{51F74AB6-9627-4330-0640-9F246984E205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13</xdr:row>
      <xdr:rowOff>177800</xdr:rowOff>
    </xdr:from>
    <xdr:to>
      <xdr:col>8</xdr:col>
      <xdr:colOff>73660</xdr:colOff>
      <xdr:row>14</xdr:row>
      <xdr:rowOff>81280</xdr:rowOff>
    </xdr:to>
    <xdr:sp macro="" textlink="">
      <xdr:nvSpPr>
        <xdr:cNvPr id="11" name="diag_6">
          <a:extLst>
            <a:ext uri="{FF2B5EF4-FFF2-40B4-BE49-F238E27FC236}">
              <a16:creationId xmlns:a16="http://schemas.microsoft.com/office/drawing/2014/main" id="{C1F1B613-A727-310D-0A53-CB4AB67FB25F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13</xdr:row>
      <xdr:rowOff>177800</xdr:rowOff>
    </xdr:from>
    <xdr:to>
      <xdr:col>9</xdr:col>
      <xdr:colOff>716280</xdr:colOff>
      <xdr:row>14</xdr:row>
      <xdr:rowOff>81280</xdr:rowOff>
    </xdr:to>
    <xdr:sp macro="" textlink="">
      <xdr:nvSpPr>
        <xdr:cNvPr id="12" name="diag_7">
          <a:extLst>
            <a:ext uri="{FF2B5EF4-FFF2-40B4-BE49-F238E27FC236}">
              <a16:creationId xmlns:a16="http://schemas.microsoft.com/office/drawing/2014/main" id="{45B9A8DE-4FF6-C84A-FCD9-A4666308086E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13</xdr:row>
      <xdr:rowOff>177800</xdr:rowOff>
    </xdr:from>
    <xdr:to>
      <xdr:col>11</xdr:col>
      <xdr:colOff>878840</xdr:colOff>
      <xdr:row>14</xdr:row>
      <xdr:rowOff>81280</xdr:rowOff>
    </xdr:to>
    <xdr:sp macro="" textlink="">
      <xdr:nvSpPr>
        <xdr:cNvPr id="13" name="diag_8">
          <a:extLst>
            <a:ext uri="{FF2B5EF4-FFF2-40B4-BE49-F238E27FC236}">
              <a16:creationId xmlns:a16="http://schemas.microsoft.com/office/drawing/2014/main" id="{FE95192F-ADA9-6275-033E-95C886EDDB4D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81280</xdr:rowOff>
    </xdr:from>
    <xdr:to>
      <xdr:col>0</xdr:col>
      <xdr:colOff>355600</xdr:colOff>
      <xdr:row>15</xdr:row>
      <xdr:rowOff>123952</xdr:rowOff>
    </xdr:to>
    <xdr:sp macro="" textlink="">
      <xdr:nvSpPr>
        <xdr:cNvPr id="14" name="diag_9">
          <a:extLst>
            <a:ext uri="{FF2B5EF4-FFF2-40B4-BE49-F238E27FC236}">
              <a16:creationId xmlns:a16="http://schemas.microsoft.com/office/drawing/2014/main" id="{B047ED3A-42D7-7105-1745-CE78155CDA96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5" name="diag_10">
          <a:extLst>
            <a:ext uri="{FF2B5EF4-FFF2-40B4-BE49-F238E27FC236}">
              <a16:creationId xmlns:a16="http://schemas.microsoft.com/office/drawing/2014/main" id="{93188982-9612-C4D5-942D-F1D60B164A96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3</xdr:col>
      <xdr:colOff>92287</xdr:colOff>
      <xdr:row>15</xdr:row>
      <xdr:rowOff>123952</xdr:rowOff>
    </xdr:to>
    <xdr:sp macro="" textlink="">
      <xdr:nvSpPr>
        <xdr:cNvPr id="16" name="diag_11">
          <a:extLst>
            <a:ext uri="{FF2B5EF4-FFF2-40B4-BE49-F238E27FC236}">
              <a16:creationId xmlns:a16="http://schemas.microsoft.com/office/drawing/2014/main" id="{B2C466B8-937C-C499-B976-C1B5399AB2FC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14</xdr:row>
      <xdr:rowOff>81280</xdr:rowOff>
    </xdr:from>
    <xdr:to>
      <xdr:col>5</xdr:col>
      <xdr:colOff>309033</xdr:colOff>
      <xdr:row>15</xdr:row>
      <xdr:rowOff>123952</xdr:rowOff>
    </xdr:to>
    <xdr:sp macro="" textlink="">
      <xdr:nvSpPr>
        <xdr:cNvPr id="17" name="diag_12">
          <a:extLst>
            <a:ext uri="{FF2B5EF4-FFF2-40B4-BE49-F238E27FC236}">
              <a16:creationId xmlns:a16="http://schemas.microsoft.com/office/drawing/2014/main" id="{566845C9-B37C-F956-1D09-CDDE435D08CE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81280</xdr:rowOff>
    </xdr:from>
    <xdr:to>
      <xdr:col>7</xdr:col>
      <xdr:colOff>662940</xdr:colOff>
      <xdr:row>15</xdr:row>
      <xdr:rowOff>123952</xdr:rowOff>
    </xdr:to>
    <xdr:sp macro="" textlink="">
      <xdr:nvSpPr>
        <xdr:cNvPr id="18" name="diag_13">
          <a:extLst>
            <a:ext uri="{FF2B5EF4-FFF2-40B4-BE49-F238E27FC236}">
              <a16:creationId xmlns:a16="http://schemas.microsoft.com/office/drawing/2014/main" id="{8BB9CA2A-2303-2CB6-88AA-03F11E00A790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14</xdr:row>
      <xdr:rowOff>81280</xdr:rowOff>
    </xdr:from>
    <xdr:to>
      <xdr:col>10</xdr:col>
      <xdr:colOff>262467</xdr:colOff>
      <xdr:row>15</xdr:row>
      <xdr:rowOff>123952</xdr:rowOff>
    </xdr:to>
    <xdr:sp macro="" textlink="">
      <xdr:nvSpPr>
        <xdr:cNvPr id="19" name="diag_14">
          <a:extLst>
            <a:ext uri="{FF2B5EF4-FFF2-40B4-BE49-F238E27FC236}">
              <a16:creationId xmlns:a16="http://schemas.microsoft.com/office/drawing/2014/main" id="{B3752B5E-BB3E-052B-D2AF-F3BE61D90E67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20" name="diag_15">
          <a:extLst>
            <a:ext uri="{FF2B5EF4-FFF2-40B4-BE49-F238E27FC236}">
              <a16:creationId xmlns:a16="http://schemas.microsoft.com/office/drawing/2014/main" id="{CE7925E5-FA5C-CF99-7794-FAC90458EF89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149352</xdr:rowOff>
    </xdr:from>
    <xdr:to>
      <xdr:col>0</xdr:col>
      <xdr:colOff>355600</xdr:colOff>
      <xdr:row>16</xdr:row>
      <xdr:rowOff>192024</xdr:rowOff>
    </xdr:to>
    <xdr:sp macro="" textlink="">
      <xdr:nvSpPr>
        <xdr:cNvPr id="21" name="diag_16">
          <a:extLst>
            <a:ext uri="{FF2B5EF4-FFF2-40B4-BE49-F238E27FC236}">
              <a16:creationId xmlns:a16="http://schemas.microsoft.com/office/drawing/2014/main" id="{DEC6248F-3944-E639-F663-2A9825DF191E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22" name="diag_17">
          <a:extLst>
            <a:ext uri="{FF2B5EF4-FFF2-40B4-BE49-F238E27FC236}">
              <a16:creationId xmlns:a16="http://schemas.microsoft.com/office/drawing/2014/main" id="{3F22373A-C055-EB32-1CDC-EDA64EDF5272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3</xdr:col>
      <xdr:colOff>92287</xdr:colOff>
      <xdr:row>16</xdr:row>
      <xdr:rowOff>192024</xdr:rowOff>
    </xdr:to>
    <xdr:sp macro="" textlink="">
      <xdr:nvSpPr>
        <xdr:cNvPr id="23" name="diag_18">
          <a:extLst>
            <a:ext uri="{FF2B5EF4-FFF2-40B4-BE49-F238E27FC236}">
              <a16:creationId xmlns:a16="http://schemas.microsoft.com/office/drawing/2014/main" id="{6F03AB5F-405D-1BF4-AA4C-091E2A804001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15</xdr:row>
      <xdr:rowOff>149352</xdr:rowOff>
    </xdr:from>
    <xdr:to>
      <xdr:col>5</xdr:col>
      <xdr:colOff>309033</xdr:colOff>
      <xdr:row>16</xdr:row>
      <xdr:rowOff>192024</xdr:rowOff>
    </xdr:to>
    <xdr:sp macro="" textlink="">
      <xdr:nvSpPr>
        <xdr:cNvPr id="24" name="diag_19">
          <a:extLst>
            <a:ext uri="{FF2B5EF4-FFF2-40B4-BE49-F238E27FC236}">
              <a16:creationId xmlns:a16="http://schemas.microsoft.com/office/drawing/2014/main" id="{12E93D8D-F8C2-A73A-7081-FD6987C36543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149352</xdr:rowOff>
    </xdr:from>
    <xdr:to>
      <xdr:col>7</xdr:col>
      <xdr:colOff>662940</xdr:colOff>
      <xdr:row>16</xdr:row>
      <xdr:rowOff>192024</xdr:rowOff>
    </xdr:to>
    <xdr:sp macro="" textlink="">
      <xdr:nvSpPr>
        <xdr:cNvPr id="25" name="diag_20">
          <a:extLst>
            <a:ext uri="{FF2B5EF4-FFF2-40B4-BE49-F238E27FC236}">
              <a16:creationId xmlns:a16="http://schemas.microsoft.com/office/drawing/2014/main" id="{3EC5C06F-B6D2-739A-20B8-705B5BCC22BC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15</xdr:row>
      <xdr:rowOff>149352</xdr:rowOff>
    </xdr:from>
    <xdr:to>
      <xdr:col>10</xdr:col>
      <xdr:colOff>262467</xdr:colOff>
      <xdr:row>16</xdr:row>
      <xdr:rowOff>192024</xdr:rowOff>
    </xdr:to>
    <xdr:sp macro="" textlink="">
      <xdr:nvSpPr>
        <xdr:cNvPr id="26" name="diag_21">
          <a:extLst>
            <a:ext uri="{FF2B5EF4-FFF2-40B4-BE49-F238E27FC236}">
              <a16:creationId xmlns:a16="http://schemas.microsoft.com/office/drawing/2014/main" id="{61CA7A70-44B9-E36E-A6AC-A3E0595C3287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27" name="diag_22">
          <a:extLst>
            <a:ext uri="{FF2B5EF4-FFF2-40B4-BE49-F238E27FC236}">
              <a16:creationId xmlns:a16="http://schemas.microsoft.com/office/drawing/2014/main" id="{58C143E1-3ADB-5D39-1321-837C00F12E37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217424</xdr:rowOff>
    </xdr:from>
    <xdr:to>
      <xdr:col>0</xdr:col>
      <xdr:colOff>355600</xdr:colOff>
      <xdr:row>18</xdr:row>
      <xdr:rowOff>23876</xdr:rowOff>
    </xdr:to>
    <xdr:sp macro="" textlink="">
      <xdr:nvSpPr>
        <xdr:cNvPr id="28" name="diag_23">
          <a:extLst>
            <a:ext uri="{FF2B5EF4-FFF2-40B4-BE49-F238E27FC236}">
              <a16:creationId xmlns:a16="http://schemas.microsoft.com/office/drawing/2014/main" id="{6D8B8223-FE5A-F9D8-2053-3D8032E9CDAC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29" name="diag_24">
          <a:extLst>
            <a:ext uri="{FF2B5EF4-FFF2-40B4-BE49-F238E27FC236}">
              <a16:creationId xmlns:a16="http://schemas.microsoft.com/office/drawing/2014/main" id="{33200CE2-EF8B-3B6A-C7B1-9F585F28F836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3</xdr:col>
      <xdr:colOff>92287</xdr:colOff>
      <xdr:row>18</xdr:row>
      <xdr:rowOff>23876</xdr:rowOff>
    </xdr:to>
    <xdr:sp macro="" textlink="">
      <xdr:nvSpPr>
        <xdr:cNvPr id="30" name="diag_25">
          <a:extLst>
            <a:ext uri="{FF2B5EF4-FFF2-40B4-BE49-F238E27FC236}">
              <a16:creationId xmlns:a16="http://schemas.microsoft.com/office/drawing/2014/main" id="{A73B28FB-0FB0-0597-FDF5-28D384D4F99E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16</xdr:row>
      <xdr:rowOff>217424</xdr:rowOff>
    </xdr:from>
    <xdr:to>
      <xdr:col>5</xdr:col>
      <xdr:colOff>309033</xdr:colOff>
      <xdr:row>18</xdr:row>
      <xdr:rowOff>23876</xdr:rowOff>
    </xdr:to>
    <xdr:sp macro="" textlink="">
      <xdr:nvSpPr>
        <xdr:cNvPr id="31" name="diag_26">
          <a:extLst>
            <a:ext uri="{FF2B5EF4-FFF2-40B4-BE49-F238E27FC236}">
              <a16:creationId xmlns:a16="http://schemas.microsoft.com/office/drawing/2014/main" id="{0B703E93-9F68-4C0E-15C0-000461CF0C59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217424</xdr:rowOff>
    </xdr:from>
    <xdr:to>
      <xdr:col>7</xdr:col>
      <xdr:colOff>662940</xdr:colOff>
      <xdr:row>18</xdr:row>
      <xdr:rowOff>23876</xdr:rowOff>
    </xdr:to>
    <xdr:sp macro="" textlink="">
      <xdr:nvSpPr>
        <xdr:cNvPr id="449" name="diag_27">
          <a:extLst>
            <a:ext uri="{FF2B5EF4-FFF2-40B4-BE49-F238E27FC236}">
              <a16:creationId xmlns:a16="http://schemas.microsoft.com/office/drawing/2014/main" id="{6F9E4BDA-B3E7-6F72-4E7C-FDCC006C004E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16</xdr:row>
      <xdr:rowOff>217424</xdr:rowOff>
    </xdr:from>
    <xdr:to>
      <xdr:col>10</xdr:col>
      <xdr:colOff>262467</xdr:colOff>
      <xdr:row>18</xdr:row>
      <xdr:rowOff>23876</xdr:rowOff>
    </xdr:to>
    <xdr:sp macro="" textlink="">
      <xdr:nvSpPr>
        <xdr:cNvPr id="450" name="diag_28">
          <a:extLst>
            <a:ext uri="{FF2B5EF4-FFF2-40B4-BE49-F238E27FC236}">
              <a16:creationId xmlns:a16="http://schemas.microsoft.com/office/drawing/2014/main" id="{04826CFC-2020-3A5C-A9C0-3BBF86C65CFF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451" name="diag_29">
          <a:extLst>
            <a:ext uri="{FF2B5EF4-FFF2-40B4-BE49-F238E27FC236}">
              <a16:creationId xmlns:a16="http://schemas.microsoft.com/office/drawing/2014/main" id="{8BD16B14-7A96-CDB7-A836-BEE7A5E97E68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49276</xdr:rowOff>
    </xdr:from>
    <xdr:to>
      <xdr:col>0</xdr:col>
      <xdr:colOff>355600</xdr:colOff>
      <xdr:row>19</xdr:row>
      <xdr:rowOff>91948</xdr:rowOff>
    </xdr:to>
    <xdr:sp macro="" textlink="">
      <xdr:nvSpPr>
        <xdr:cNvPr id="452" name="diag_30">
          <a:extLst>
            <a:ext uri="{FF2B5EF4-FFF2-40B4-BE49-F238E27FC236}">
              <a16:creationId xmlns:a16="http://schemas.microsoft.com/office/drawing/2014/main" id="{DEAE6712-1E96-7489-5C8D-BBC80F3F77A1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453" name="diag_31">
          <a:extLst>
            <a:ext uri="{FF2B5EF4-FFF2-40B4-BE49-F238E27FC236}">
              <a16:creationId xmlns:a16="http://schemas.microsoft.com/office/drawing/2014/main" id="{83D8FA03-8397-B366-53BE-98B92F62576F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3</xdr:col>
      <xdr:colOff>92287</xdr:colOff>
      <xdr:row>19</xdr:row>
      <xdr:rowOff>91948</xdr:rowOff>
    </xdr:to>
    <xdr:sp macro="" textlink="">
      <xdr:nvSpPr>
        <xdr:cNvPr id="454" name="diag_32">
          <a:extLst>
            <a:ext uri="{FF2B5EF4-FFF2-40B4-BE49-F238E27FC236}">
              <a16:creationId xmlns:a16="http://schemas.microsoft.com/office/drawing/2014/main" id="{D7B45DE0-89A4-3D93-C5A5-D1FF31290187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18</xdr:row>
      <xdr:rowOff>49276</xdr:rowOff>
    </xdr:from>
    <xdr:to>
      <xdr:col>5</xdr:col>
      <xdr:colOff>309033</xdr:colOff>
      <xdr:row>19</xdr:row>
      <xdr:rowOff>91948</xdr:rowOff>
    </xdr:to>
    <xdr:sp macro="" textlink="">
      <xdr:nvSpPr>
        <xdr:cNvPr id="455" name="diag_33">
          <a:extLst>
            <a:ext uri="{FF2B5EF4-FFF2-40B4-BE49-F238E27FC236}">
              <a16:creationId xmlns:a16="http://schemas.microsoft.com/office/drawing/2014/main" id="{36DACD65-E0AB-91B3-B0A7-C1A1A1735006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49276</xdr:rowOff>
    </xdr:from>
    <xdr:to>
      <xdr:col>7</xdr:col>
      <xdr:colOff>662940</xdr:colOff>
      <xdr:row>19</xdr:row>
      <xdr:rowOff>91948</xdr:rowOff>
    </xdr:to>
    <xdr:sp macro="" textlink="">
      <xdr:nvSpPr>
        <xdr:cNvPr id="456" name="diag_34">
          <a:extLst>
            <a:ext uri="{FF2B5EF4-FFF2-40B4-BE49-F238E27FC236}">
              <a16:creationId xmlns:a16="http://schemas.microsoft.com/office/drawing/2014/main" id="{D8BCF49D-ED44-31AF-861A-BE1866F62E7E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18</xdr:row>
      <xdr:rowOff>49276</xdr:rowOff>
    </xdr:from>
    <xdr:to>
      <xdr:col>9</xdr:col>
      <xdr:colOff>551180</xdr:colOff>
      <xdr:row>19</xdr:row>
      <xdr:rowOff>91948</xdr:rowOff>
    </xdr:to>
    <xdr:sp macro="" textlink="">
      <xdr:nvSpPr>
        <xdr:cNvPr id="457" name="diag_35">
          <a:extLst>
            <a:ext uri="{FF2B5EF4-FFF2-40B4-BE49-F238E27FC236}">
              <a16:creationId xmlns:a16="http://schemas.microsoft.com/office/drawing/2014/main" id="{260F540E-6443-1F17-4349-1B27DD06A01E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458" name="diag_36">
          <a:extLst>
            <a:ext uri="{FF2B5EF4-FFF2-40B4-BE49-F238E27FC236}">
              <a16:creationId xmlns:a16="http://schemas.microsoft.com/office/drawing/2014/main" id="{DB67F8FB-100D-0CA0-3C82-AC651C45DF71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117348</xdr:rowOff>
    </xdr:from>
    <xdr:to>
      <xdr:col>0</xdr:col>
      <xdr:colOff>355600</xdr:colOff>
      <xdr:row>20</xdr:row>
      <xdr:rowOff>160020</xdr:rowOff>
    </xdr:to>
    <xdr:sp macro="" textlink="">
      <xdr:nvSpPr>
        <xdr:cNvPr id="459" name="diag_37">
          <a:extLst>
            <a:ext uri="{FF2B5EF4-FFF2-40B4-BE49-F238E27FC236}">
              <a16:creationId xmlns:a16="http://schemas.microsoft.com/office/drawing/2014/main" id="{C02530AB-1616-B85C-C5C7-6D8B91E2576B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460" name="diag_38">
          <a:extLst>
            <a:ext uri="{FF2B5EF4-FFF2-40B4-BE49-F238E27FC236}">
              <a16:creationId xmlns:a16="http://schemas.microsoft.com/office/drawing/2014/main" id="{1ECDEE85-65C8-DE6F-C3D8-88F91085403F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2</xdr:col>
      <xdr:colOff>613833</xdr:colOff>
      <xdr:row>20</xdr:row>
      <xdr:rowOff>160020</xdr:rowOff>
    </xdr:to>
    <xdr:sp macro="" textlink="">
      <xdr:nvSpPr>
        <xdr:cNvPr id="461" name="diag_39">
          <a:extLst>
            <a:ext uri="{FF2B5EF4-FFF2-40B4-BE49-F238E27FC236}">
              <a16:creationId xmlns:a16="http://schemas.microsoft.com/office/drawing/2014/main" id="{8F7B11C2-AE1E-A8E8-DBA8-3789B4516BAA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117348</xdr:rowOff>
    </xdr:from>
    <xdr:to>
      <xdr:col>4</xdr:col>
      <xdr:colOff>734907</xdr:colOff>
      <xdr:row>20</xdr:row>
      <xdr:rowOff>160020</xdr:rowOff>
    </xdr:to>
    <xdr:sp macro="" textlink="">
      <xdr:nvSpPr>
        <xdr:cNvPr id="462" name="diag_40">
          <a:extLst>
            <a:ext uri="{FF2B5EF4-FFF2-40B4-BE49-F238E27FC236}">
              <a16:creationId xmlns:a16="http://schemas.microsoft.com/office/drawing/2014/main" id="{04F66D31-355B-40CD-88DD-DDF13BDB5ADD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19</xdr:row>
      <xdr:rowOff>117348</xdr:rowOff>
    </xdr:from>
    <xdr:to>
      <xdr:col>6</xdr:col>
      <xdr:colOff>718820</xdr:colOff>
      <xdr:row>20</xdr:row>
      <xdr:rowOff>160020</xdr:rowOff>
    </xdr:to>
    <xdr:sp macro="" textlink="">
      <xdr:nvSpPr>
        <xdr:cNvPr id="463" name="diag_41">
          <a:extLst>
            <a:ext uri="{FF2B5EF4-FFF2-40B4-BE49-F238E27FC236}">
              <a16:creationId xmlns:a16="http://schemas.microsoft.com/office/drawing/2014/main" id="{E5691AB9-D6ED-DCE7-A9DC-498898E471FA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19</xdr:row>
      <xdr:rowOff>117348</xdr:rowOff>
    </xdr:from>
    <xdr:to>
      <xdr:col>9</xdr:col>
      <xdr:colOff>85513</xdr:colOff>
      <xdr:row>20</xdr:row>
      <xdr:rowOff>160020</xdr:rowOff>
    </xdr:to>
    <xdr:sp macro="" textlink="">
      <xdr:nvSpPr>
        <xdr:cNvPr id="464" name="diag_42">
          <a:extLst>
            <a:ext uri="{FF2B5EF4-FFF2-40B4-BE49-F238E27FC236}">
              <a16:creationId xmlns:a16="http://schemas.microsoft.com/office/drawing/2014/main" id="{3606783F-554C-4AF2-73F4-87CA2FBB0E09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19</xdr:row>
      <xdr:rowOff>117348</xdr:rowOff>
    </xdr:from>
    <xdr:to>
      <xdr:col>10</xdr:col>
      <xdr:colOff>262466</xdr:colOff>
      <xdr:row>20</xdr:row>
      <xdr:rowOff>160020</xdr:rowOff>
    </xdr:to>
    <xdr:sp macro="" textlink="">
      <xdr:nvSpPr>
        <xdr:cNvPr id="465" name="diag_43">
          <a:extLst>
            <a:ext uri="{FF2B5EF4-FFF2-40B4-BE49-F238E27FC236}">
              <a16:creationId xmlns:a16="http://schemas.microsoft.com/office/drawing/2014/main" id="{132FFF14-CC94-9483-E09B-482837E26DFF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466" name="diag_44">
          <a:extLst>
            <a:ext uri="{FF2B5EF4-FFF2-40B4-BE49-F238E27FC236}">
              <a16:creationId xmlns:a16="http://schemas.microsoft.com/office/drawing/2014/main" id="{AB0C729A-1A83-6EC5-03B7-CF2B7F80C016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50800</xdr:rowOff>
    </xdr:from>
    <xdr:to>
      <xdr:col>11</xdr:col>
      <xdr:colOff>713740</xdr:colOff>
      <xdr:row>21</xdr:row>
      <xdr:rowOff>228600</xdr:rowOff>
    </xdr:to>
    <xdr:sp macro="" textlink="">
      <xdr:nvSpPr>
        <xdr:cNvPr id="467" name="diag_45">
          <a:extLst>
            <a:ext uri="{FF2B5EF4-FFF2-40B4-BE49-F238E27FC236}">
              <a16:creationId xmlns:a16="http://schemas.microsoft.com/office/drawing/2014/main" id="{5EBF4953-646D-8792-1FA1-B401CB0FFF80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tiers 6-10</a:t>
          </a:r>
        </a:p>
      </xdr:txBody>
    </xdr:sp>
    <xdr:clientData/>
  </xdr:twoCellAnchor>
  <xdr:twoCellAnchor>
    <xdr:from>
      <xdr:col>0</xdr:col>
      <xdr:colOff>190500</xdr:colOff>
      <xdr:row>21</xdr:row>
      <xdr:rowOff>228600</xdr:rowOff>
    </xdr:from>
    <xdr:to>
      <xdr:col>0</xdr:col>
      <xdr:colOff>520700</xdr:colOff>
      <xdr:row>22</xdr:row>
      <xdr:rowOff>132080</xdr:rowOff>
    </xdr:to>
    <xdr:sp macro="" textlink="">
      <xdr:nvSpPr>
        <xdr:cNvPr id="468" name="diag_46">
          <a:extLst>
            <a:ext uri="{FF2B5EF4-FFF2-40B4-BE49-F238E27FC236}">
              <a16:creationId xmlns:a16="http://schemas.microsoft.com/office/drawing/2014/main" id="{A42356E4-A67D-A12C-295E-0A25B52FAB1A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228600</xdr:rowOff>
    </xdr:from>
    <xdr:to>
      <xdr:col>2</xdr:col>
      <xdr:colOff>546100</xdr:colOff>
      <xdr:row>22</xdr:row>
      <xdr:rowOff>132080</xdr:rowOff>
    </xdr:to>
    <xdr:sp macro="" textlink="">
      <xdr:nvSpPr>
        <xdr:cNvPr id="469" name="diag_47">
          <a:extLst>
            <a:ext uri="{FF2B5EF4-FFF2-40B4-BE49-F238E27FC236}">
              <a16:creationId xmlns:a16="http://schemas.microsoft.com/office/drawing/2014/main" id="{FC17E7E7-03F3-6007-9612-B508D1C41802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21</xdr:row>
      <xdr:rowOff>228600</xdr:rowOff>
    </xdr:from>
    <xdr:to>
      <xdr:col>4</xdr:col>
      <xdr:colOff>434340</xdr:colOff>
      <xdr:row>22</xdr:row>
      <xdr:rowOff>132080</xdr:rowOff>
    </xdr:to>
    <xdr:sp macro="" textlink="">
      <xdr:nvSpPr>
        <xdr:cNvPr id="470" name="diag_48">
          <a:extLst>
            <a:ext uri="{FF2B5EF4-FFF2-40B4-BE49-F238E27FC236}">
              <a16:creationId xmlns:a16="http://schemas.microsoft.com/office/drawing/2014/main" id="{39845BDE-B58D-D6BD-0300-B8A3B7F87ABC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228600</xdr:rowOff>
    </xdr:from>
    <xdr:to>
      <xdr:col>6</xdr:col>
      <xdr:colOff>185420</xdr:colOff>
      <xdr:row>22</xdr:row>
      <xdr:rowOff>132080</xdr:rowOff>
    </xdr:to>
    <xdr:sp macro="" textlink="">
      <xdr:nvSpPr>
        <xdr:cNvPr id="471" name="diag_49">
          <a:extLst>
            <a:ext uri="{FF2B5EF4-FFF2-40B4-BE49-F238E27FC236}">
              <a16:creationId xmlns:a16="http://schemas.microsoft.com/office/drawing/2014/main" id="{874C9D93-3557-EACC-CD4D-3E15090E754F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21</xdr:row>
      <xdr:rowOff>228600</xdr:rowOff>
    </xdr:from>
    <xdr:to>
      <xdr:col>8</xdr:col>
      <xdr:colOff>73660</xdr:colOff>
      <xdr:row>22</xdr:row>
      <xdr:rowOff>132080</xdr:rowOff>
    </xdr:to>
    <xdr:sp macro="" textlink="">
      <xdr:nvSpPr>
        <xdr:cNvPr id="472" name="diag_50">
          <a:extLst>
            <a:ext uri="{FF2B5EF4-FFF2-40B4-BE49-F238E27FC236}">
              <a16:creationId xmlns:a16="http://schemas.microsoft.com/office/drawing/2014/main" id="{C527087C-51CC-E5C6-4569-365A64DD9EA2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21</xdr:row>
      <xdr:rowOff>228600</xdr:rowOff>
    </xdr:from>
    <xdr:to>
      <xdr:col>9</xdr:col>
      <xdr:colOff>716280</xdr:colOff>
      <xdr:row>22</xdr:row>
      <xdr:rowOff>132080</xdr:rowOff>
    </xdr:to>
    <xdr:sp macro="" textlink="">
      <xdr:nvSpPr>
        <xdr:cNvPr id="473" name="diag_51">
          <a:extLst>
            <a:ext uri="{FF2B5EF4-FFF2-40B4-BE49-F238E27FC236}">
              <a16:creationId xmlns:a16="http://schemas.microsoft.com/office/drawing/2014/main" id="{3E042F35-10BC-DF3C-9132-DC2AC7D40363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21</xdr:row>
      <xdr:rowOff>228600</xdr:rowOff>
    </xdr:from>
    <xdr:to>
      <xdr:col>11</xdr:col>
      <xdr:colOff>878840</xdr:colOff>
      <xdr:row>22</xdr:row>
      <xdr:rowOff>132080</xdr:rowOff>
    </xdr:to>
    <xdr:sp macro="" textlink="">
      <xdr:nvSpPr>
        <xdr:cNvPr id="474" name="diag_52">
          <a:extLst>
            <a:ext uri="{FF2B5EF4-FFF2-40B4-BE49-F238E27FC236}">
              <a16:creationId xmlns:a16="http://schemas.microsoft.com/office/drawing/2014/main" id="{7F2FD09F-C63D-8435-9047-5EED6162CD50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132080</xdr:rowOff>
    </xdr:from>
    <xdr:to>
      <xdr:col>0</xdr:col>
      <xdr:colOff>355600</xdr:colOff>
      <xdr:row>23</xdr:row>
      <xdr:rowOff>174752</xdr:rowOff>
    </xdr:to>
    <xdr:sp macro="" textlink="">
      <xdr:nvSpPr>
        <xdr:cNvPr id="475" name="diag_53">
          <a:extLst>
            <a:ext uri="{FF2B5EF4-FFF2-40B4-BE49-F238E27FC236}">
              <a16:creationId xmlns:a16="http://schemas.microsoft.com/office/drawing/2014/main" id="{447A3DF1-3ECD-438A-381B-9D92D00C082C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476" name="diag_54">
          <a:extLst>
            <a:ext uri="{FF2B5EF4-FFF2-40B4-BE49-F238E27FC236}">
              <a16:creationId xmlns:a16="http://schemas.microsoft.com/office/drawing/2014/main" id="{43FB3AC1-C643-3D7F-AC1E-02720746BA2E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2</xdr:col>
      <xdr:colOff>613833</xdr:colOff>
      <xdr:row>23</xdr:row>
      <xdr:rowOff>174752</xdr:rowOff>
    </xdr:to>
    <xdr:sp macro="" textlink="">
      <xdr:nvSpPr>
        <xdr:cNvPr id="477" name="diag_55">
          <a:extLst>
            <a:ext uri="{FF2B5EF4-FFF2-40B4-BE49-F238E27FC236}">
              <a16:creationId xmlns:a16="http://schemas.microsoft.com/office/drawing/2014/main" id="{6C805A0F-20BB-A2F6-9A78-73B4FA8EFF7F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132080</xdr:rowOff>
    </xdr:from>
    <xdr:to>
      <xdr:col>4</xdr:col>
      <xdr:colOff>734907</xdr:colOff>
      <xdr:row>23</xdr:row>
      <xdr:rowOff>174752</xdr:rowOff>
    </xdr:to>
    <xdr:sp macro="" textlink="">
      <xdr:nvSpPr>
        <xdr:cNvPr id="478" name="diag_56">
          <a:extLst>
            <a:ext uri="{FF2B5EF4-FFF2-40B4-BE49-F238E27FC236}">
              <a16:creationId xmlns:a16="http://schemas.microsoft.com/office/drawing/2014/main" id="{199A71C8-C821-68EB-01BA-3D9085DB9807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22</xdr:row>
      <xdr:rowOff>132080</xdr:rowOff>
    </xdr:from>
    <xdr:to>
      <xdr:col>6</xdr:col>
      <xdr:colOff>718820</xdr:colOff>
      <xdr:row>23</xdr:row>
      <xdr:rowOff>174752</xdr:rowOff>
    </xdr:to>
    <xdr:sp macro="" textlink="">
      <xdr:nvSpPr>
        <xdr:cNvPr id="479" name="diag_57">
          <a:extLst>
            <a:ext uri="{FF2B5EF4-FFF2-40B4-BE49-F238E27FC236}">
              <a16:creationId xmlns:a16="http://schemas.microsoft.com/office/drawing/2014/main" id="{D2420CED-4A4D-5D17-52A9-75629F084A42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22</xdr:row>
      <xdr:rowOff>132080</xdr:rowOff>
    </xdr:from>
    <xdr:to>
      <xdr:col>9</xdr:col>
      <xdr:colOff>85513</xdr:colOff>
      <xdr:row>23</xdr:row>
      <xdr:rowOff>174752</xdr:rowOff>
    </xdr:to>
    <xdr:sp macro="" textlink="">
      <xdr:nvSpPr>
        <xdr:cNvPr id="289" name="diag_58">
          <a:extLst>
            <a:ext uri="{FF2B5EF4-FFF2-40B4-BE49-F238E27FC236}">
              <a16:creationId xmlns:a16="http://schemas.microsoft.com/office/drawing/2014/main" id="{8F0F842E-0446-54AF-C5BE-7DC14958CD1D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22</xdr:row>
      <xdr:rowOff>132080</xdr:rowOff>
    </xdr:from>
    <xdr:to>
      <xdr:col>10</xdr:col>
      <xdr:colOff>262466</xdr:colOff>
      <xdr:row>23</xdr:row>
      <xdr:rowOff>174752</xdr:rowOff>
    </xdr:to>
    <xdr:sp macro="" textlink="">
      <xdr:nvSpPr>
        <xdr:cNvPr id="290" name="diag_59">
          <a:extLst>
            <a:ext uri="{FF2B5EF4-FFF2-40B4-BE49-F238E27FC236}">
              <a16:creationId xmlns:a16="http://schemas.microsoft.com/office/drawing/2014/main" id="{72EAD59F-313A-A80F-CB8C-2AA3B3B0EB99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291" name="diag_60">
          <a:extLst>
            <a:ext uri="{FF2B5EF4-FFF2-40B4-BE49-F238E27FC236}">
              <a16:creationId xmlns:a16="http://schemas.microsoft.com/office/drawing/2014/main" id="{2815B91E-F946-D5F4-0C34-CD1FE8145451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6604</xdr:rowOff>
    </xdr:to>
    <xdr:sp macro="" textlink="">
      <xdr:nvSpPr>
        <xdr:cNvPr id="292" name="diag_61">
          <a:extLst>
            <a:ext uri="{FF2B5EF4-FFF2-40B4-BE49-F238E27FC236}">
              <a16:creationId xmlns:a16="http://schemas.microsoft.com/office/drawing/2014/main" id="{89EBAE00-BBC5-1BB6-6697-799BF755F841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293" name="diag_62">
          <a:extLst>
            <a:ext uri="{FF2B5EF4-FFF2-40B4-BE49-F238E27FC236}">
              <a16:creationId xmlns:a16="http://schemas.microsoft.com/office/drawing/2014/main" id="{A5F0AF9C-BE85-C43B-F63A-88BC707B41CC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6604</xdr:rowOff>
    </xdr:to>
    <xdr:sp macro="" textlink="">
      <xdr:nvSpPr>
        <xdr:cNvPr id="294" name="diag_63">
          <a:extLst>
            <a:ext uri="{FF2B5EF4-FFF2-40B4-BE49-F238E27FC236}">
              <a16:creationId xmlns:a16="http://schemas.microsoft.com/office/drawing/2014/main" id="{E216CF7D-BA86-F73D-89D0-4BFB85538059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734907</xdr:colOff>
      <xdr:row>25</xdr:row>
      <xdr:rowOff>6604</xdr:rowOff>
    </xdr:to>
    <xdr:sp macro="" textlink="">
      <xdr:nvSpPr>
        <xdr:cNvPr id="295" name="diag_64">
          <a:extLst>
            <a:ext uri="{FF2B5EF4-FFF2-40B4-BE49-F238E27FC236}">
              <a16:creationId xmlns:a16="http://schemas.microsoft.com/office/drawing/2014/main" id="{FB1123E8-8148-C058-09AC-87102F1F1B4A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23</xdr:row>
      <xdr:rowOff>200152</xdr:rowOff>
    </xdr:from>
    <xdr:to>
      <xdr:col>6</xdr:col>
      <xdr:colOff>718820</xdr:colOff>
      <xdr:row>25</xdr:row>
      <xdr:rowOff>6604</xdr:rowOff>
    </xdr:to>
    <xdr:sp macro="" textlink="">
      <xdr:nvSpPr>
        <xdr:cNvPr id="296" name="diag_65">
          <a:extLst>
            <a:ext uri="{FF2B5EF4-FFF2-40B4-BE49-F238E27FC236}">
              <a16:creationId xmlns:a16="http://schemas.microsoft.com/office/drawing/2014/main" id="{26CD69A4-DDA2-CC44-1042-1862C4DB8F26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23</xdr:row>
      <xdr:rowOff>200152</xdr:rowOff>
    </xdr:from>
    <xdr:to>
      <xdr:col>8</xdr:col>
      <xdr:colOff>374227</xdr:colOff>
      <xdr:row>25</xdr:row>
      <xdr:rowOff>6604</xdr:rowOff>
    </xdr:to>
    <xdr:sp macro="" textlink="">
      <xdr:nvSpPr>
        <xdr:cNvPr id="297" name="diag_66">
          <a:extLst>
            <a:ext uri="{FF2B5EF4-FFF2-40B4-BE49-F238E27FC236}">
              <a16:creationId xmlns:a16="http://schemas.microsoft.com/office/drawing/2014/main" id="{3657DC6C-A7D4-291F-B6AC-AA706C008FC5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23</xdr:row>
      <xdr:rowOff>200152</xdr:rowOff>
    </xdr:from>
    <xdr:to>
      <xdr:col>10</xdr:col>
      <xdr:colOff>29633</xdr:colOff>
      <xdr:row>25</xdr:row>
      <xdr:rowOff>6604</xdr:rowOff>
    </xdr:to>
    <xdr:sp macro="" textlink="">
      <xdr:nvSpPr>
        <xdr:cNvPr id="298" name="diag_67">
          <a:extLst>
            <a:ext uri="{FF2B5EF4-FFF2-40B4-BE49-F238E27FC236}">
              <a16:creationId xmlns:a16="http://schemas.microsoft.com/office/drawing/2014/main" id="{82CEC69E-7B86-CFE9-BB0E-1AEBF4F14E09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299" name="diag_68">
          <a:extLst>
            <a:ext uri="{FF2B5EF4-FFF2-40B4-BE49-F238E27FC236}">
              <a16:creationId xmlns:a16="http://schemas.microsoft.com/office/drawing/2014/main" id="{02E03CBE-B325-0534-307E-7BADEA76CD3F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32004</xdr:rowOff>
    </xdr:from>
    <xdr:to>
      <xdr:col>0</xdr:col>
      <xdr:colOff>355600</xdr:colOff>
      <xdr:row>26</xdr:row>
      <xdr:rowOff>74676</xdr:rowOff>
    </xdr:to>
    <xdr:sp macro="" textlink="">
      <xdr:nvSpPr>
        <xdr:cNvPr id="300" name="diag_69">
          <a:extLst>
            <a:ext uri="{FF2B5EF4-FFF2-40B4-BE49-F238E27FC236}">
              <a16:creationId xmlns:a16="http://schemas.microsoft.com/office/drawing/2014/main" id="{A9354235-B95D-FFFF-CC34-709041DE857B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301" name="diag_70">
          <a:extLst>
            <a:ext uri="{FF2B5EF4-FFF2-40B4-BE49-F238E27FC236}">
              <a16:creationId xmlns:a16="http://schemas.microsoft.com/office/drawing/2014/main" id="{7030F0D8-CF8A-2D62-40B8-6DD8CF7D7AA8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2</xdr:col>
      <xdr:colOff>381000</xdr:colOff>
      <xdr:row>26</xdr:row>
      <xdr:rowOff>74676</xdr:rowOff>
    </xdr:to>
    <xdr:sp macro="" textlink="">
      <xdr:nvSpPr>
        <xdr:cNvPr id="302" name="diag_71">
          <a:extLst>
            <a:ext uri="{FF2B5EF4-FFF2-40B4-BE49-F238E27FC236}">
              <a16:creationId xmlns:a16="http://schemas.microsoft.com/office/drawing/2014/main" id="{CEC9A5BA-8E7C-8BEB-DB7E-7CF9E3E31D17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32004</xdr:rowOff>
    </xdr:from>
    <xdr:to>
      <xdr:col>4</xdr:col>
      <xdr:colOff>269240</xdr:colOff>
      <xdr:row>26</xdr:row>
      <xdr:rowOff>74676</xdr:rowOff>
    </xdr:to>
    <xdr:sp macro="" textlink="">
      <xdr:nvSpPr>
        <xdr:cNvPr id="303" name="diag_72">
          <a:extLst>
            <a:ext uri="{FF2B5EF4-FFF2-40B4-BE49-F238E27FC236}">
              <a16:creationId xmlns:a16="http://schemas.microsoft.com/office/drawing/2014/main" id="{59E02328-9CD8-4397-F09D-6B6878C126B3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269240</xdr:colOff>
      <xdr:row>25</xdr:row>
      <xdr:rowOff>32004</xdr:rowOff>
    </xdr:from>
    <xdr:to>
      <xdr:col>6</xdr:col>
      <xdr:colOff>20320</xdr:colOff>
      <xdr:row>26</xdr:row>
      <xdr:rowOff>74676</xdr:rowOff>
    </xdr:to>
    <xdr:sp macro="" textlink="">
      <xdr:nvSpPr>
        <xdr:cNvPr id="304" name="diag_73">
          <a:extLst>
            <a:ext uri="{FF2B5EF4-FFF2-40B4-BE49-F238E27FC236}">
              <a16:creationId xmlns:a16="http://schemas.microsoft.com/office/drawing/2014/main" id="{A0DCEC04-EBF2-2FE9-9F69-02E3345F33AE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20320</xdr:colOff>
      <xdr:row>25</xdr:row>
      <xdr:rowOff>32004</xdr:rowOff>
    </xdr:from>
    <xdr:to>
      <xdr:col>7</xdr:col>
      <xdr:colOff>662940</xdr:colOff>
      <xdr:row>26</xdr:row>
      <xdr:rowOff>74676</xdr:rowOff>
    </xdr:to>
    <xdr:sp macro="" textlink="">
      <xdr:nvSpPr>
        <xdr:cNvPr id="305" name="diag_74">
          <a:extLst>
            <a:ext uri="{FF2B5EF4-FFF2-40B4-BE49-F238E27FC236}">
              <a16:creationId xmlns:a16="http://schemas.microsoft.com/office/drawing/2014/main" id="{30259F24-A456-FE77-6E09-F25FF219248C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662940</xdr:colOff>
      <xdr:row>25</xdr:row>
      <xdr:rowOff>32004</xdr:rowOff>
    </xdr:from>
    <xdr:to>
      <xdr:col>9</xdr:col>
      <xdr:colOff>551180</xdr:colOff>
      <xdr:row>26</xdr:row>
      <xdr:rowOff>74676</xdr:rowOff>
    </xdr:to>
    <xdr:sp macro="" textlink="">
      <xdr:nvSpPr>
        <xdr:cNvPr id="306" name="diag_75">
          <a:extLst>
            <a:ext uri="{FF2B5EF4-FFF2-40B4-BE49-F238E27FC236}">
              <a16:creationId xmlns:a16="http://schemas.microsoft.com/office/drawing/2014/main" id="{AA767320-48BB-3DE2-D669-528CD65B4109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307" name="diag_76">
          <a:extLst>
            <a:ext uri="{FF2B5EF4-FFF2-40B4-BE49-F238E27FC236}">
              <a16:creationId xmlns:a16="http://schemas.microsoft.com/office/drawing/2014/main" id="{3EA490FB-F983-9602-7B1C-21846264C1F8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100076</xdr:rowOff>
    </xdr:from>
    <xdr:to>
      <xdr:col>0</xdr:col>
      <xdr:colOff>355600</xdr:colOff>
      <xdr:row>27</xdr:row>
      <xdr:rowOff>142748</xdr:rowOff>
    </xdr:to>
    <xdr:sp macro="" textlink="">
      <xdr:nvSpPr>
        <xdr:cNvPr id="308" name="diag_77">
          <a:extLst>
            <a:ext uri="{FF2B5EF4-FFF2-40B4-BE49-F238E27FC236}">
              <a16:creationId xmlns:a16="http://schemas.microsoft.com/office/drawing/2014/main" id="{58D2FA2A-480E-ECDD-D34C-12BCB33A8CE3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309" name="diag_78">
          <a:extLst>
            <a:ext uri="{FF2B5EF4-FFF2-40B4-BE49-F238E27FC236}">
              <a16:creationId xmlns:a16="http://schemas.microsoft.com/office/drawing/2014/main" id="{E0F8A91D-42F5-5D28-1A9D-3FDC0CC6558C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2</xdr:col>
      <xdr:colOff>381000</xdr:colOff>
      <xdr:row>27</xdr:row>
      <xdr:rowOff>142748</xdr:rowOff>
    </xdr:to>
    <xdr:sp macro="" textlink="">
      <xdr:nvSpPr>
        <xdr:cNvPr id="310" name="diag_79">
          <a:extLst>
            <a:ext uri="{FF2B5EF4-FFF2-40B4-BE49-F238E27FC236}">
              <a16:creationId xmlns:a16="http://schemas.microsoft.com/office/drawing/2014/main" id="{CDC9127C-E471-74DB-F74F-C9CA8E672DCC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100076</xdr:rowOff>
    </xdr:from>
    <xdr:to>
      <xdr:col>4</xdr:col>
      <xdr:colOff>36407</xdr:colOff>
      <xdr:row>27</xdr:row>
      <xdr:rowOff>142748</xdr:rowOff>
    </xdr:to>
    <xdr:sp macro="" textlink="">
      <xdr:nvSpPr>
        <xdr:cNvPr id="311" name="diag_80">
          <a:extLst>
            <a:ext uri="{FF2B5EF4-FFF2-40B4-BE49-F238E27FC236}">
              <a16:creationId xmlns:a16="http://schemas.microsoft.com/office/drawing/2014/main" id="{A50A79F1-A24C-1F11-01DF-CCE5BA149168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26</xdr:row>
      <xdr:rowOff>100076</xdr:rowOff>
    </xdr:from>
    <xdr:to>
      <xdr:col>5</xdr:col>
      <xdr:colOff>309033</xdr:colOff>
      <xdr:row>27</xdr:row>
      <xdr:rowOff>142748</xdr:rowOff>
    </xdr:to>
    <xdr:sp macro="" textlink="">
      <xdr:nvSpPr>
        <xdr:cNvPr id="312" name="diag_81">
          <a:extLst>
            <a:ext uri="{FF2B5EF4-FFF2-40B4-BE49-F238E27FC236}">
              <a16:creationId xmlns:a16="http://schemas.microsoft.com/office/drawing/2014/main" id="{40D9590D-709F-DB15-09A3-34DD2C24881D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100076</xdr:rowOff>
    </xdr:from>
    <xdr:to>
      <xdr:col>6</xdr:col>
      <xdr:colOff>718820</xdr:colOff>
      <xdr:row>27</xdr:row>
      <xdr:rowOff>142748</xdr:rowOff>
    </xdr:to>
    <xdr:sp macro="" textlink="">
      <xdr:nvSpPr>
        <xdr:cNvPr id="313" name="diag_82">
          <a:extLst>
            <a:ext uri="{FF2B5EF4-FFF2-40B4-BE49-F238E27FC236}">
              <a16:creationId xmlns:a16="http://schemas.microsoft.com/office/drawing/2014/main" id="{DEDB40C5-C6CA-B667-1A52-0115D3D9ABD5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26</xdr:row>
      <xdr:rowOff>100076</xdr:rowOff>
    </xdr:from>
    <xdr:to>
      <xdr:col>8</xdr:col>
      <xdr:colOff>374227</xdr:colOff>
      <xdr:row>27</xdr:row>
      <xdr:rowOff>142748</xdr:rowOff>
    </xdr:to>
    <xdr:sp macro="" textlink="">
      <xdr:nvSpPr>
        <xdr:cNvPr id="314" name="diag_83">
          <a:extLst>
            <a:ext uri="{FF2B5EF4-FFF2-40B4-BE49-F238E27FC236}">
              <a16:creationId xmlns:a16="http://schemas.microsoft.com/office/drawing/2014/main" id="{74126894-B86C-AFA6-8630-D18C6685A402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26</xdr:row>
      <xdr:rowOff>100076</xdr:rowOff>
    </xdr:from>
    <xdr:to>
      <xdr:col>10</xdr:col>
      <xdr:colOff>29633</xdr:colOff>
      <xdr:row>27</xdr:row>
      <xdr:rowOff>142748</xdr:rowOff>
    </xdr:to>
    <xdr:sp macro="" textlink="">
      <xdr:nvSpPr>
        <xdr:cNvPr id="315" name="diag_84">
          <a:extLst>
            <a:ext uri="{FF2B5EF4-FFF2-40B4-BE49-F238E27FC236}">
              <a16:creationId xmlns:a16="http://schemas.microsoft.com/office/drawing/2014/main" id="{71B4DECD-91B6-616A-CF4A-683BEE6DEF3A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316" name="diag_85">
          <a:extLst>
            <a:ext uri="{FF2B5EF4-FFF2-40B4-BE49-F238E27FC236}">
              <a16:creationId xmlns:a16="http://schemas.microsoft.com/office/drawing/2014/main" id="{41FF653D-A11A-4DF7-804E-DFF2DD69F886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168148</xdr:rowOff>
    </xdr:from>
    <xdr:to>
      <xdr:col>0</xdr:col>
      <xdr:colOff>355600</xdr:colOff>
      <xdr:row>28</xdr:row>
      <xdr:rowOff>210820</xdr:rowOff>
    </xdr:to>
    <xdr:sp macro="" textlink="">
      <xdr:nvSpPr>
        <xdr:cNvPr id="317" name="diag_86">
          <a:extLst>
            <a:ext uri="{FF2B5EF4-FFF2-40B4-BE49-F238E27FC236}">
              <a16:creationId xmlns:a16="http://schemas.microsoft.com/office/drawing/2014/main" id="{EEC9EE37-1C75-0A91-DDFF-C8CEBC8CC391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318" name="diag_87">
          <a:extLst>
            <a:ext uri="{FF2B5EF4-FFF2-40B4-BE49-F238E27FC236}">
              <a16:creationId xmlns:a16="http://schemas.microsoft.com/office/drawing/2014/main" id="{22094E32-2906-C5E1-5121-5192C663A4F2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2</xdr:col>
      <xdr:colOff>381000</xdr:colOff>
      <xdr:row>28</xdr:row>
      <xdr:rowOff>210820</xdr:rowOff>
    </xdr:to>
    <xdr:sp macro="" textlink="">
      <xdr:nvSpPr>
        <xdr:cNvPr id="319" name="diag_88">
          <a:extLst>
            <a:ext uri="{FF2B5EF4-FFF2-40B4-BE49-F238E27FC236}">
              <a16:creationId xmlns:a16="http://schemas.microsoft.com/office/drawing/2014/main" id="{51BDA7BC-A902-084F-1B06-071B537C3180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168148</xdr:rowOff>
    </xdr:from>
    <xdr:to>
      <xdr:col>4</xdr:col>
      <xdr:colOff>36407</xdr:colOff>
      <xdr:row>28</xdr:row>
      <xdr:rowOff>210820</xdr:rowOff>
    </xdr:to>
    <xdr:sp macro="" textlink="">
      <xdr:nvSpPr>
        <xdr:cNvPr id="96" name="diag_89">
          <a:extLst>
            <a:ext uri="{FF2B5EF4-FFF2-40B4-BE49-F238E27FC236}">
              <a16:creationId xmlns:a16="http://schemas.microsoft.com/office/drawing/2014/main" id="{3D8DF97E-10D7-4834-B86F-2415E548E225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27</xdr:row>
      <xdr:rowOff>168148</xdr:rowOff>
    </xdr:from>
    <xdr:to>
      <xdr:col>5</xdr:col>
      <xdr:colOff>309033</xdr:colOff>
      <xdr:row>28</xdr:row>
      <xdr:rowOff>210820</xdr:rowOff>
    </xdr:to>
    <xdr:sp macro="" textlink="">
      <xdr:nvSpPr>
        <xdr:cNvPr id="191" name="diag_90">
          <a:extLst>
            <a:ext uri="{FF2B5EF4-FFF2-40B4-BE49-F238E27FC236}">
              <a16:creationId xmlns:a16="http://schemas.microsoft.com/office/drawing/2014/main" id="{1A965CF9-8A4F-CD34-AF5D-466F5C75BC02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168148</xdr:rowOff>
    </xdr:from>
    <xdr:to>
      <xdr:col>6</xdr:col>
      <xdr:colOff>718820</xdr:colOff>
      <xdr:row>28</xdr:row>
      <xdr:rowOff>210820</xdr:rowOff>
    </xdr:to>
    <xdr:sp macro="" textlink="">
      <xdr:nvSpPr>
        <xdr:cNvPr id="384" name="diag_91">
          <a:extLst>
            <a:ext uri="{FF2B5EF4-FFF2-40B4-BE49-F238E27FC236}">
              <a16:creationId xmlns:a16="http://schemas.microsoft.com/office/drawing/2014/main" id="{4EE4BEE1-0E12-41C3-0CAA-0B678E475EBF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27</xdr:row>
      <xdr:rowOff>168148</xdr:rowOff>
    </xdr:from>
    <xdr:to>
      <xdr:col>8</xdr:col>
      <xdr:colOff>374227</xdr:colOff>
      <xdr:row>28</xdr:row>
      <xdr:rowOff>210820</xdr:rowOff>
    </xdr:to>
    <xdr:sp macro="" textlink="">
      <xdr:nvSpPr>
        <xdr:cNvPr id="480" name="diag_92">
          <a:extLst>
            <a:ext uri="{FF2B5EF4-FFF2-40B4-BE49-F238E27FC236}">
              <a16:creationId xmlns:a16="http://schemas.microsoft.com/office/drawing/2014/main" id="{731C97C3-68D6-1A8D-1291-849FCFE709B2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27</xdr:row>
      <xdr:rowOff>168148</xdr:rowOff>
    </xdr:from>
    <xdr:to>
      <xdr:col>10</xdr:col>
      <xdr:colOff>29633</xdr:colOff>
      <xdr:row>28</xdr:row>
      <xdr:rowOff>210820</xdr:rowOff>
    </xdr:to>
    <xdr:sp macro="" textlink="">
      <xdr:nvSpPr>
        <xdr:cNvPr id="481" name="diag_93">
          <a:extLst>
            <a:ext uri="{FF2B5EF4-FFF2-40B4-BE49-F238E27FC236}">
              <a16:creationId xmlns:a16="http://schemas.microsoft.com/office/drawing/2014/main" id="{967E20B2-A933-38C0-3668-B19B625471F3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482" name="diag_94">
          <a:extLst>
            <a:ext uri="{FF2B5EF4-FFF2-40B4-BE49-F238E27FC236}">
              <a16:creationId xmlns:a16="http://schemas.microsoft.com/office/drawing/2014/main" id="{32522538-B236-9145-FD2D-2EE01D6692AD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3</xdr:col>
      <xdr:colOff>7620</xdr:colOff>
      <xdr:row>30</xdr:row>
      <xdr:rowOff>7620</xdr:rowOff>
    </xdr:to>
    <xdr:sp macro="" textlink="">
      <xdr:nvSpPr>
        <xdr:cNvPr id="483" name="pick_1">
          <a:extLst>
            <a:ext uri="{FF2B5EF4-FFF2-40B4-BE49-F238E27FC236}">
              <a16:creationId xmlns:a16="http://schemas.microsoft.com/office/drawing/2014/main" id="{C0A35C47-14BC-55D1-8245-5CFBA8994CE7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30</xdr:row>
      <xdr:rowOff>7620</xdr:rowOff>
    </xdr:from>
    <xdr:to>
      <xdr:col>0</xdr:col>
      <xdr:colOff>279400</xdr:colOff>
      <xdr:row>30</xdr:row>
      <xdr:rowOff>172720</xdr:rowOff>
    </xdr:to>
    <xdr:sp macro="" textlink="">
      <xdr:nvSpPr>
        <xdr:cNvPr id="484" name="pick_2">
          <a:extLst>
            <a:ext uri="{FF2B5EF4-FFF2-40B4-BE49-F238E27FC236}">
              <a16:creationId xmlns:a16="http://schemas.microsoft.com/office/drawing/2014/main" id="{881C5B56-E195-00AD-93F5-98FFD1D940D8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30</xdr:row>
      <xdr:rowOff>7620</xdr:rowOff>
    </xdr:from>
    <xdr:to>
      <xdr:col>1</xdr:col>
      <xdr:colOff>246380</xdr:colOff>
      <xdr:row>30</xdr:row>
      <xdr:rowOff>172720</xdr:rowOff>
    </xdr:to>
    <xdr:sp macro="" textlink="">
      <xdr:nvSpPr>
        <xdr:cNvPr id="485" name="pick_3">
          <a:extLst>
            <a:ext uri="{FF2B5EF4-FFF2-40B4-BE49-F238E27FC236}">
              <a16:creationId xmlns:a16="http://schemas.microsoft.com/office/drawing/2014/main" id="{B7257249-DFA9-8BEC-E02A-602B64277717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246380</xdr:colOff>
      <xdr:row>30</xdr:row>
      <xdr:rowOff>7620</xdr:rowOff>
    </xdr:from>
    <xdr:to>
      <xdr:col>1</xdr:col>
      <xdr:colOff>678180</xdr:colOff>
      <xdr:row>30</xdr:row>
      <xdr:rowOff>172720</xdr:rowOff>
    </xdr:to>
    <xdr:sp macro="" textlink="">
      <xdr:nvSpPr>
        <xdr:cNvPr id="486" name="pick_4">
          <a:extLst>
            <a:ext uri="{FF2B5EF4-FFF2-40B4-BE49-F238E27FC236}">
              <a16:creationId xmlns:a16="http://schemas.microsoft.com/office/drawing/2014/main" id="{005B234A-1721-FED7-E4AF-55B1D11D52A8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678180</xdr:colOff>
      <xdr:row>30</xdr:row>
      <xdr:rowOff>7620</xdr:rowOff>
    </xdr:from>
    <xdr:to>
      <xdr:col>2</xdr:col>
      <xdr:colOff>254000</xdr:colOff>
      <xdr:row>30</xdr:row>
      <xdr:rowOff>172720</xdr:rowOff>
    </xdr:to>
    <xdr:sp macro="" textlink="">
      <xdr:nvSpPr>
        <xdr:cNvPr id="487" name="pick_5">
          <a:extLst>
            <a:ext uri="{FF2B5EF4-FFF2-40B4-BE49-F238E27FC236}">
              <a16:creationId xmlns:a16="http://schemas.microsoft.com/office/drawing/2014/main" id="{4E47AA1B-CD3E-9BFD-EFF6-7FFCAFA45861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30</xdr:row>
      <xdr:rowOff>7620</xdr:rowOff>
    </xdr:from>
    <xdr:to>
      <xdr:col>3</xdr:col>
      <xdr:colOff>7620</xdr:colOff>
      <xdr:row>30</xdr:row>
      <xdr:rowOff>172720</xdr:rowOff>
    </xdr:to>
    <xdr:sp macro="" textlink="">
      <xdr:nvSpPr>
        <xdr:cNvPr id="488" name="pick_6">
          <a:extLst>
            <a:ext uri="{FF2B5EF4-FFF2-40B4-BE49-F238E27FC236}">
              <a16:creationId xmlns:a16="http://schemas.microsoft.com/office/drawing/2014/main" id="{AC9C3579-F811-D5F8-E492-9BEEF8D35474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172720</xdr:rowOff>
    </xdr:from>
    <xdr:to>
      <xdr:col>0</xdr:col>
      <xdr:colOff>279400</xdr:colOff>
      <xdr:row>31</xdr:row>
      <xdr:rowOff>154940</xdr:rowOff>
    </xdr:to>
    <xdr:sp macro="" textlink="">
      <xdr:nvSpPr>
        <xdr:cNvPr id="489" name="pick_7">
          <a:extLst>
            <a:ext uri="{FF2B5EF4-FFF2-40B4-BE49-F238E27FC236}">
              <a16:creationId xmlns:a16="http://schemas.microsoft.com/office/drawing/2014/main" id="{073CDFFE-0B76-3749-46D5-327B1FBC97F2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172720</xdr:rowOff>
    </xdr:from>
    <xdr:to>
      <xdr:col>1</xdr:col>
      <xdr:colOff>246380</xdr:colOff>
      <xdr:row>31</xdr:row>
      <xdr:rowOff>154940</xdr:rowOff>
    </xdr:to>
    <xdr:sp macro="" textlink="">
      <xdr:nvSpPr>
        <xdr:cNvPr id="490" name="pick_8">
          <a:extLst>
            <a:ext uri="{FF2B5EF4-FFF2-40B4-BE49-F238E27FC236}">
              <a16:creationId xmlns:a16="http://schemas.microsoft.com/office/drawing/2014/main" id="{4F073B66-0BEB-3732-15D6-258E5B0B7203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30</xdr:row>
      <xdr:rowOff>172720</xdr:rowOff>
    </xdr:from>
    <xdr:to>
      <xdr:col>1</xdr:col>
      <xdr:colOff>678180</xdr:colOff>
      <xdr:row>31</xdr:row>
      <xdr:rowOff>154940</xdr:rowOff>
    </xdr:to>
    <xdr:sp macro="" textlink="">
      <xdr:nvSpPr>
        <xdr:cNvPr id="491" name="pick_9">
          <a:extLst>
            <a:ext uri="{FF2B5EF4-FFF2-40B4-BE49-F238E27FC236}">
              <a16:creationId xmlns:a16="http://schemas.microsoft.com/office/drawing/2014/main" id="{CC98AA08-8790-76B7-D674-40069CAAAA19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678180</xdr:colOff>
      <xdr:row>30</xdr:row>
      <xdr:rowOff>172720</xdr:rowOff>
    </xdr:from>
    <xdr:to>
      <xdr:col>2</xdr:col>
      <xdr:colOff>254000</xdr:colOff>
      <xdr:row>31</xdr:row>
      <xdr:rowOff>154940</xdr:rowOff>
    </xdr:to>
    <xdr:sp macro="" textlink="">
      <xdr:nvSpPr>
        <xdr:cNvPr id="492" name="pick_10">
          <a:extLst>
            <a:ext uri="{FF2B5EF4-FFF2-40B4-BE49-F238E27FC236}">
              <a16:creationId xmlns:a16="http://schemas.microsoft.com/office/drawing/2014/main" id="{ACEC11BD-A40C-63DE-AEBA-316483753029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172720</xdr:rowOff>
    </xdr:from>
    <xdr:to>
      <xdr:col>3</xdr:col>
      <xdr:colOff>7620</xdr:colOff>
      <xdr:row>31</xdr:row>
      <xdr:rowOff>154940</xdr:rowOff>
    </xdr:to>
    <xdr:sp macro="" textlink="">
      <xdr:nvSpPr>
        <xdr:cNvPr id="493" name="pick_11">
          <a:extLst>
            <a:ext uri="{FF2B5EF4-FFF2-40B4-BE49-F238E27FC236}">
              <a16:creationId xmlns:a16="http://schemas.microsoft.com/office/drawing/2014/main" id="{08B7C5B9-1B0C-7C95-F9A2-4D0A5B48F590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154940</xdr:rowOff>
    </xdr:from>
    <xdr:to>
      <xdr:col>0</xdr:col>
      <xdr:colOff>279400</xdr:colOff>
      <xdr:row>32</xdr:row>
      <xdr:rowOff>137160</xdr:rowOff>
    </xdr:to>
    <xdr:sp macro="" textlink="">
      <xdr:nvSpPr>
        <xdr:cNvPr id="494" name="pick_12">
          <a:extLst>
            <a:ext uri="{FF2B5EF4-FFF2-40B4-BE49-F238E27FC236}">
              <a16:creationId xmlns:a16="http://schemas.microsoft.com/office/drawing/2014/main" id="{E70C1B7A-B0E4-FFBD-C523-2BFDBDB741E5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154940</xdr:rowOff>
    </xdr:from>
    <xdr:to>
      <xdr:col>1</xdr:col>
      <xdr:colOff>246380</xdr:colOff>
      <xdr:row>32</xdr:row>
      <xdr:rowOff>137160</xdr:rowOff>
    </xdr:to>
    <xdr:sp macro="" textlink="">
      <xdr:nvSpPr>
        <xdr:cNvPr id="495" name="pick_13">
          <a:extLst>
            <a:ext uri="{FF2B5EF4-FFF2-40B4-BE49-F238E27FC236}">
              <a16:creationId xmlns:a16="http://schemas.microsoft.com/office/drawing/2014/main" id="{52D22F4C-02AD-FF26-2035-92D4A5719E2F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31</xdr:row>
      <xdr:rowOff>154940</xdr:rowOff>
    </xdr:from>
    <xdr:to>
      <xdr:col>1</xdr:col>
      <xdr:colOff>678180</xdr:colOff>
      <xdr:row>32</xdr:row>
      <xdr:rowOff>137160</xdr:rowOff>
    </xdr:to>
    <xdr:sp macro="" textlink="">
      <xdr:nvSpPr>
        <xdr:cNvPr id="496" name="pick_14">
          <a:extLst>
            <a:ext uri="{FF2B5EF4-FFF2-40B4-BE49-F238E27FC236}">
              <a16:creationId xmlns:a16="http://schemas.microsoft.com/office/drawing/2014/main" id="{06BC8C96-EF83-0351-2820-5EB6470F450F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678180</xdr:colOff>
      <xdr:row>31</xdr:row>
      <xdr:rowOff>154940</xdr:rowOff>
    </xdr:from>
    <xdr:to>
      <xdr:col>2</xdr:col>
      <xdr:colOff>254000</xdr:colOff>
      <xdr:row>32</xdr:row>
      <xdr:rowOff>137160</xdr:rowOff>
    </xdr:to>
    <xdr:sp macro="" textlink="">
      <xdr:nvSpPr>
        <xdr:cNvPr id="497" name="pick_15">
          <a:extLst>
            <a:ext uri="{FF2B5EF4-FFF2-40B4-BE49-F238E27FC236}">
              <a16:creationId xmlns:a16="http://schemas.microsoft.com/office/drawing/2014/main" id="{0D61AFB5-0AF6-56E8-D4C2-9A668E24A2CA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154940</xdr:rowOff>
    </xdr:from>
    <xdr:to>
      <xdr:col>3</xdr:col>
      <xdr:colOff>7620</xdr:colOff>
      <xdr:row>32</xdr:row>
      <xdr:rowOff>137160</xdr:rowOff>
    </xdr:to>
    <xdr:sp macro="" textlink="">
      <xdr:nvSpPr>
        <xdr:cNvPr id="498" name="pick_16">
          <a:extLst>
            <a:ext uri="{FF2B5EF4-FFF2-40B4-BE49-F238E27FC236}">
              <a16:creationId xmlns:a16="http://schemas.microsoft.com/office/drawing/2014/main" id="{24112A44-09FF-921B-AFBD-B78C68F9DFC3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137160</xdr:rowOff>
    </xdr:from>
    <xdr:to>
      <xdr:col>0</xdr:col>
      <xdr:colOff>279400</xdr:colOff>
      <xdr:row>33</xdr:row>
      <xdr:rowOff>119380</xdr:rowOff>
    </xdr:to>
    <xdr:sp macro="" textlink="">
      <xdr:nvSpPr>
        <xdr:cNvPr id="499" name="pick_17">
          <a:extLst>
            <a:ext uri="{FF2B5EF4-FFF2-40B4-BE49-F238E27FC236}">
              <a16:creationId xmlns:a16="http://schemas.microsoft.com/office/drawing/2014/main" id="{BCF5B12C-F616-8CD5-E110-0D0EBB3CB82A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137160</xdr:rowOff>
    </xdr:from>
    <xdr:to>
      <xdr:col>1</xdr:col>
      <xdr:colOff>246380</xdr:colOff>
      <xdr:row>33</xdr:row>
      <xdr:rowOff>119380</xdr:rowOff>
    </xdr:to>
    <xdr:sp macro="" textlink="">
      <xdr:nvSpPr>
        <xdr:cNvPr id="500" name="pick_18">
          <a:extLst>
            <a:ext uri="{FF2B5EF4-FFF2-40B4-BE49-F238E27FC236}">
              <a16:creationId xmlns:a16="http://schemas.microsoft.com/office/drawing/2014/main" id="{AD0CF4E9-B599-0772-52E3-AD8222C50A8F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32</xdr:row>
      <xdr:rowOff>137160</xdr:rowOff>
    </xdr:from>
    <xdr:to>
      <xdr:col>1</xdr:col>
      <xdr:colOff>678180</xdr:colOff>
      <xdr:row>33</xdr:row>
      <xdr:rowOff>119380</xdr:rowOff>
    </xdr:to>
    <xdr:sp macro="" textlink="">
      <xdr:nvSpPr>
        <xdr:cNvPr id="501" name="pick_19">
          <a:extLst>
            <a:ext uri="{FF2B5EF4-FFF2-40B4-BE49-F238E27FC236}">
              <a16:creationId xmlns:a16="http://schemas.microsoft.com/office/drawing/2014/main" id="{62D3DF6B-E279-E90A-C3A6-1DEB9E255895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678180</xdr:colOff>
      <xdr:row>32</xdr:row>
      <xdr:rowOff>137160</xdr:rowOff>
    </xdr:from>
    <xdr:to>
      <xdr:col>2</xdr:col>
      <xdr:colOff>254000</xdr:colOff>
      <xdr:row>33</xdr:row>
      <xdr:rowOff>119380</xdr:rowOff>
    </xdr:to>
    <xdr:sp macro="" textlink="">
      <xdr:nvSpPr>
        <xdr:cNvPr id="502" name="pick_20">
          <a:extLst>
            <a:ext uri="{FF2B5EF4-FFF2-40B4-BE49-F238E27FC236}">
              <a16:creationId xmlns:a16="http://schemas.microsoft.com/office/drawing/2014/main" id="{12C860F7-916C-0199-6FFF-8646BDFFE2EB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137160</xdr:rowOff>
    </xdr:from>
    <xdr:to>
      <xdr:col>3</xdr:col>
      <xdr:colOff>7620</xdr:colOff>
      <xdr:row>33</xdr:row>
      <xdr:rowOff>119380</xdr:rowOff>
    </xdr:to>
    <xdr:sp macro="" textlink="">
      <xdr:nvSpPr>
        <xdr:cNvPr id="503" name="pick_21">
          <a:extLst>
            <a:ext uri="{FF2B5EF4-FFF2-40B4-BE49-F238E27FC236}">
              <a16:creationId xmlns:a16="http://schemas.microsoft.com/office/drawing/2014/main" id="{306065D0-36E9-7480-305A-D6F2DD175323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119380</xdr:rowOff>
    </xdr:from>
    <xdr:to>
      <xdr:col>0</xdr:col>
      <xdr:colOff>279400</xdr:colOff>
      <xdr:row>34</xdr:row>
      <xdr:rowOff>101600</xdr:rowOff>
    </xdr:to>
    <xdr:sp macro="" textlink="">
      <xdr:nvSpPr>
        <xdr:cNvPr id="504" name="pick_22">
          <a:extLst>
            <a:ext uri="{FF2B5EF4-FFF2-40B4-BE49-F238E27FC236}">
              <a16:creationId xmlns:a16="http://schemas.microsoft.com/office/drawing/2014/main" id="{DC1D138D-F1DD-2F6F-4046-00826505F30A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119380</xdr:rowOff>
    </xdr:from>
    <xdr:to>
      <xdr:col>1</xdr:col>
      <xdr:colOff>246380</xdr:colOff>
      <xdr:row>34</xdr:row>
      <xdr:rowOff>101600</xdr:rowOff>
    </xdr:to>
    <xdr:sp macro="" textlink="">
      <xdr:nvSpPr>
        <xdr:cNvPr id="505" name="pick_23">
          <a:extLst>
            <a:ext uri="{FF2B5EF4-FFF2-40B4-BE49-F238E27FC236}">
              <a16:creationId xmlns:a16="http://schemas.microsoft.com/office/drawing/2014/main" id="{11BC2270-0B14-D223-BD0D-D87C4400675C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33</xdr:row>
      <xdr:rowOff>119380</xdr:rowOff>
    </xdr:from>
    <xdr:to>
      <xdr:col>1</xdr:col>
      <xdr:colOff>678180</xdr:colOff>
      <xdr:row>34</xdr:row>
      <xdr:rowOff>101600</xdr:rowOff>
    </xdr:to>
    <xdr:sp macro="" textlink="">
      <xdr:nvSpPr>
        <xdr:cNvPr id="506" name="pick_24">
          <a:extLst>
            <a:ext uri="{FF2B5EF4-FFF2-40B4-BE49-F238E27FC236}">
              <a16:creationId xmlns:a16="http://schemas.microsoft.com/office/drawing/2014/main" id="{D30D0F5C-AC4A-923C-E344-026553A6A04A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678180</xdr:colOff>
      <xdr:row>33</xdr:row>
      <xdr:rowOff>119380</xdr:rowOff>
    </xdr:from>
    <xdr:to>
      <xdr:col>2</xdr:col>
      <xdr:colOff>254000</xdr:colOff>
      <xdr:row>34</xdr:row>
      <xdr:rowOff>101600</xdr:rowOff>
    </xdr:to>
    <xdr:sp macro="" textlink="">
      <xdr:nvSpPr>
        <xdr:cNvPr id="507" name="pick_25">
          <a:extLst>
            <a:ext uri="{FF2B5EF4-FFF2-40B4-BE49-F238E27FC236}">
              <a16:creationId xmlns:a16="http://schemas.microsoft.com/office/drawing/2014/main" id="{0027DFBE-E0CF-CEF5-423F-7C3647CB8B04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119380</xdr:rowOff>
    </xdr:from>
    <xdr:to>
      <xdr:col>3</xdr:col>
      <xdr:colOff>7620</xdr:colOff>
      <xdr:row>34</xdr:row>
      <xdr:rowOff>101600</xdr:rowOff>
    </xdr:to>
    <xdr:sp macro="" textlink="">
      <xdr:nvSpPr>
        <xdr:cNvPr id="508" name="pick_26">
          <a:extLst>
            <a:ext uri="{FF2B5EF4-FFF2-40B4-BE49-F238E27FC236}">
              <a16:creationId xmlns:a16="http://schemas.microsoft.com/office/drawing/2014/main" id="{DE64949D-5065-5DB9-CD1E-51FE90135920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101600</xdr:rowOff>
    </xdr:from>
    <xdr:to>
      <xdr:col>0</xdr:col>
      <xdr:colOff>279400</xdr:colOff>
      <xdr:row>35</xdr:row>
      <xdr:rowOff>83820</xdr:rowOff>
    </xdr:to>
    <xdr:sp macro="" textlink="">
      <xdr:nvSpPr>
        <xdr:cNvPr id="509" name="pick_27">
          <a:extLst>
            <a:ext uri="{FF2B5EF4-FFF2-40B4-BE49-F238E27FC236}">
              <a16:creationId xmlns:a16="http://schemas.microsoft.com/office/drawing/2014/main" id="{2899A3A9-3052-4E8C-6A01-49A75CAEBED8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101600</xdr:rowOff>
    </xdr:from>
    <xdr:to>
      <xdr:col>1</xdr:col>
      <xdr:colOff>246380</xdr:colOff>
      <xdr:row>35</xdr:row>
      <xdr:rowOff>83820</xdr:rowOff>
    </xdr:to>
    <xdr:sp macro="" textlink="">
      <xdr:nvSpPr>
        <xdr:cNvPr id="510" name="pick_28">
          <a:extLst>
            <a:ext uri="{FF2B5EF4-FFF2-40B4-BE49-F238E27FC236}">
              <a16:creationId xmlns:a16="http://schemas.microsoft.com/office/drawing/2014/main" id="{FB66F6BD-4728-EFC5-61C0-78B6CF8D1726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34</xdr:row>
      <xdr:rowOff>101600</xdr:rowOff>
    </xdr:from>
    <xdr:to>
      <xdr:col>1</xdr:col>
      <xdr:colOff>678180</xdr:colOff>
      <xdr:row>35</xdr:row>
      <xdr:rowOff>83820</xdr:rowOff>
    </xdr:to>
    <xdr:sp macro="" textlink="">
      <xdr:nvSpPr>
        <xdr:cNvPr id="511" name="pick_29">
          <a:extLst>
            <a:ext uri="{FF2B5EF4-FFF2-40B4-BE49-F238E27FC236}">
              <a16:creationId xmlns:a16="http://schemas.microsoft.com/office/drawing/2014/main" id="{4483F810-FBF1-806F-5F19-32D95406ACD3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678180</xdr:colOff>
      <xdr:row>34</xdr:row>
      <xdr:rowOff>101600</xdr:rowOff>
    </xdr:from>
    <xdr:to>
      <xdr:col>2</xdr:col>
      <xdr:colOff>254000</xdr:colOff>
      <xdr:row>35</xdr:row>
      <xdr:rowOff>83820</xdr:rowOff>
    </xdr:to>
    <xdr:sp macro="" textlink="">
      <xdr:nvSpPr>
        <xdr:cNvPr id="512" name="pick_30">
          <a:extLst>
            <a:ext uri="{FF2B5EF4-FFF2-40B4-BE49-F238E27FC236}">
              <a16:creationId xmlns:a16="http://schemas.microsoft.com/office/drawing/2014/main" id="{D8416076-BA4F-6ACD-2742-91A4DE186E88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101600</xdr:rowOff>
    </xdr:from>
    <xdr:to>
      <xdr:col>3</xdr:col>
      <xdr:colOff>7620</xdr:colOff>
      <xdr:row>35</xdr:row>
      <xdr:rowOff>83820</xdr:rowOff>
    </xdr:to>
    <xdr:sp macro="" textlink="">
      <xdr:nvSpPr>
        <xdr:cNvPr id="513" name="pick_31">
          <a:extLst>
            <a:ext uri="{FF2B5EF4-FFF2-40B4-BE49-F238E27FC236}">
              <a16:creationId xmlns:a16="http://schemas.microsoft.com/office/drawing/2014/main" id="{38CAB9EE-FC61-DC95-8743-A2D335E3A8AE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8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89" t="s">
        <v>0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</row>
    <row r="2" spans="1:14" x14ac:dyDescent="0.3">
      <c r="A2" s="88" t="s">
        <v>1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4" spans="1:14" x14ac:dyDescent="0.3">
      <c r="A4" s="86" t="s">
        <v>2</v>
      </c>
      <c r="B4" s="86"/>
      <c r="C4" s="86"/>
      <c r="E4" s="90" t="s">
        <v>418</v>
      </c>
      <c r="F4" s="91"/>
      <c r="G4" s="91"/>
      <c r="H4" s="92"/>
    </row>
    <row r="5" spans="1:14" x14ac:dyDescent="0.3">
      <c r="A5" s="2" t="s">
        <v>3</v>
      </c>
      <c r="C5" s="3">
        <v>10</v>
      </c>
      <c r="E5" s="93" t="s">
        <v>419</v>
      </c>
      <c r="F5" s="94"/>
      <c r="G5" s="95" t="s">
        <v>18</v>
      </c>
      <c r="H5" s="96"/>
    </row>
    <row r="6" spans="1:14" x14ac:dyDescent="0.3">
      <c r="A6" s="4" t="s">
        <v>4</v>
      </c>
      <c r="C6" s="36">
        <v>72</v>
      </c>
      <c r="E6" s="93" t="s">
        <v>420</v>
      </c>
      <c r="F6" s="94"/>
      <c r="G6" s="95">
        <v>2</v>
      </c>
      <c r="H6" s="96"/>
    </row>
    <row r="7" spans="1:14" x14ac:dyDescent="0.3">
      <c r="A7" s="35" t="s">
        <v>416</v>
      </c>
      <c r="C7" s="37" t="s">
        <v>417</v>
      </c>
      <c r="E7" s="97" t="s">
        <v>421</v>
      </c>
      <c r="F7" s="98"/>
      <c r="G7" s="98"/>
      <c r="H7" s="99"/>
    </row>
    <row r="8" spans="1:14" x14ac:dyDescent="0.3">
      <c r="A8" s="86" t="s">
        <v>5</v>
      </c>
      <c r="B8" s="86"/>
      <c r="C8" s="86"/>
      <c r="D8" s="86"/>
      <c r="E8" s="86"/>
      <c r="F8" s="86"/>
      <c r="G8" s="86"/>
      <c r="H8" s="86"/>
    </row>
    <row r="9" spans="1:14" x14ac:dyDescent="0.3">
      <c r="A9" s="5" t="s">
        <v>6</v>
      </c>
      <c r="B9" s="5" t="s">
        <v>7</v>
      </c>
      <c r="C9" s="5" t="s">
        <v>8</v>
      </c>
      <c r="D9" s="5" t="s">
        <v>9</v>
      </c>
      <c r="E9" s="5" t="s">
        <v>10</v>
      </c>
      <c r="F9" s="5" t="s">
        <v>11</v>
      </c>
      <c r="G9" s="5" t="s">
        <v>12</v>
      </c>
      <c r="H9" s="5" t="s">
        <v>13</v>
      </c>
      <c r="J9" s="86" t="s">
        <v>14</v>
      </c>
      <c r="K9" s="86"/>
      <c r="L9" s="86"/>
      <c r="M9" s="86"/>
    </row>
    <row r="10" spans="1:14" x14ac:dyDescent="0.3">
      <c r="A10" s="6">
        <v>1</v>
      </c>
      <c r="B10" s="38" t="s">
        <v>18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00" t="s">
        <v>17</v>
      </c>
      <c r="K10" s="100"/>
      <c r="L10" s="101">
        <f>F30</f>
        <v>720</v>
      </c>
      <c r="M10" s="101"/>
    </row>
    <row r="11" spans="1:14" x14ac:dyDescent="0.3">
      <c r="A11" s="6">
        <v>2</v>
      </c>
      <c r="B11" s="38" t="s">
        <v>18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00" t="s">
        <v>19</v>
      </c>
      <c r="K11" s="100"/>
      <c r="L11" s="101">
        <f>C5*C6</f>
        <v>720</v>
      </c>
      <c r="M11" s="101"/>
    </row>
    <row r="12" spans="1:14" x14ac:dyDescent="0.3">
      <c r="A12" s="6">
        <v>3</v>
      </c>
      <c r="B12" s="38" t="s">
        <v>18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00" t="s">
        <v>20</v>
      </c>
      <c r="K12" s="100"/>
      <c r="L12" s="101">
        <f>F30-C5*C6</f>
        <v>0</v>
      </c>
      <c r="M12" s="101"/>
    </row>
    <row r="13" spans="1:14" x14ac:dyDescent="0.3">
      <c r="A13" s="6">
        <v>4</v>
      </c>
      <c r="B13" s="38" t="s">
        <v>18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00" t="s">
        <v>23</v>
      </c>
      <c r="K13" s="100"/>
      <c r="L13" s="101">
        <f>IF(F30=0,0,ROUNDUP(F30/C6,0))</f>
        <v>10</v>
      </c>
      <c r="M13" s="101"/>
    </row>
    <row r="14" spans="1:14" x14ac:dyDescent="0.3">
      <c r="A14" s="6">
        <v>5</v>
      </c>
      <c r="B14" s="38" t="s">
        <v>18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00" t="s">
        <v>25</v>
      </c>
      <c r="K14" s="100"/>
      <c r="L14" s="101">
        <f>COUNTIF($L$34:$L$47,"OK 72")</f>
        <v>10</v>
      </c>
      <c r="M14" s="101"/>
    </row>
    <row r="15" spans="1:14" x14ac:dyDescent="0.3">
      <c r="A15" s="6">
        <v>6</v>
      </c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00" t="s">
        <v>26</v>
      </c>
      <c r="K15" s="100"/>
      <c r="L15" s="101">
        <f>COUNTA($B$34:$J$47)</f>
        <v>58</v>
      </c>
      <c r="M15" s="101"/>
    </row>
    <row r="16" spans="1:14" x14ac:dyDescent="0.3">
      <c r="A16" s="6">
        <v>7</v>
      </c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00" t="s">
        <v>27</v>
      </c>
      <c r="K16" s="100"/>
      <c r="L16" s="101">
        <f>E30-COUNTA($B$34:$J$47)</f>
        <v>0</v>
      </c>
      <c r="M16" s="101"/>
    </row>
    <row r="17" spans="1:13" x14ac:dyDescent="0.3">
      <c r="A17" s="6">
        <v>8</v>
      </c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02" t="s">
        <v>28</v>
      </c>
      <c r="K17" s="102"/>
      <c r="L17" s="103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PERFECT — all 10 rows = 72ft</v>
      </c>
      <c r="M17" s="103"/>
    </row>
    <row r="18" spans="1:13" x14ac:dyDescent="0.3">
      <c r="A18" s="6">
        <v>9</v>
      </c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>
        <v>10</v>
      </c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>
        <v>11</v>
      </c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>
        <v>12</v>
      </c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>
        <v>13</v>
      </c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>
        <v>14</v>
      </c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>
        <v>15</v>
      </c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>
        <v>16</v>
      </c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>
        <v>17</v>
      </c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>
        <v>18</v>
      </c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>
        <v>19</v>
      </c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>
        <v>20</v>
      </c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03" t="s">
        <v>29</v>
      </c>
      <c r="B30" s="103"/>
      <c r="C30" s="103"/>
      <c r="D30" s="103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86" t="s">
        <v>30</v>
      </c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</row>
    <row r="33" spans="1:12" x14ac:dyDescent="0.3">
      <c r="A33" s="5" t="s">
        <v>31</v>
      </c>
      <c r="B33" s="5" t="s">
        <v>32</v>
      </c>
      <c r="C33" s="5" t="s">
        <v>33</v>
      </c>
      <c r="D33" s="5" t="s">
        <v>34</v>
      </c>
      <c r="E33" s="5" t="s">
        <v>35</v>
      </c>
      <c r="F33" s="5" t="s">
        <v>36</v>
      </c>
      <c r="G33" s="5" t="s">
        <v>37</v>
      </c>
      <c r="H33" s="5" t="s">
        <v>38</v>
      </c>
      <c r="I33" s="5" t="s">
        <v>39</v>
      </c>
      <c r="J33" s="5" t="s">
        <v>40</v>
      </c>
      <c r="K33" s="5" t="s">
        <v>41</v>
      </c>
      <c r="L33" s="5" t="s">
        <v>42</v>
      </c>
    </row>
    <row r="34" spans="1:12" x14ac:dyDescent="0.3">
      <c r="A34" s="10" t="s">
        <v>43</v>
      </c>
      <c r="B34" s="11" t="s">
        <v>47</v>
      </c>
      <c r="C34" s="11" t="s">
        <v>47</v>
      </c>
      <c r="D34" s="11" t="s">
        <v>47</v>
      </c>
      <c r="E34" s="11" t="s">
        <v>47</v>
      </c>
      <c r="F34" s="11" t="s">
        <v>412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45</v>
      </c>
      <c r="B35" s="11" t="s">
        <v>47</v>
      </c>
      <c r="C35" s="11" t="s">
        <v>47</v>
      </c>
      <c r="D35" s="11" t="s">
        <v>47</v>
      </c>
      <c r="E35" s="11" t="s">
        <v>47</v>
      </c>
      <c r="F35" s="11" t="s">
        <v>412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46</v>
      </c>
      <c r="B36" s="11" t="s">
        <v>47</v>
      </c>
      <c r="C36" s="11" t="s">
        <v>47</v>
      </c>
      <c r="D36" s="11" t="s">
        <v>47</v>
      </c>
      <c r="E36" s="11" t="s">
        <v>47</v>
      </c>
      <c r="F36" s="11" t="s">
        <v>412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48</v>
      </c>
      <c r="B37" s="11" t="s">
        <v>47</v>
      </c>
      <c r="C37" s="11" t="s">
        <v>47</v>
      </c>
      <c r="D37" s="11" t="s">
        <v>47</v>
      </c>
      <c r="E37" s="11" t="s">
        <v>413</v>
      </c>
      <c r="F37" s="11" t="s">
        <v>413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49</v>
      </c>
      <c r="B38" s="11" t="s">
        <v>44</v>
      </c>
      <c r="C38" s="11" t="s">
        <v>44</v>
      </c>
      <c r="D38" s="11" t="s">
        <v>44</v>
      </c>
      <c r="E38" s="11" t="s">
        <v>44</v>
      </c>
      <c r="F38" s="11" t="s">
        <v>412</v>
      </c>
      <c r="G38" s="11" t="s">
        <v>412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50</v>
      </c>
      <c r="B39" s="11" t="s">
        <v>44</v>
      </c>
      <c r="C39" s="11" t="s">
        <v>44</v>
      </c>
      <c r="D39" s="11" t="s">
        <v>44</v>
      </c>
      <c r="E39" s="11" t="s">
        <v>44</v>
      </c>
      <c r="F39" s="11" t="s">
        <v>412</v>
      </c>
      <c r="G39" s="11" t="s">
        <v>412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51</v>
      </c>
      <c r="B40" s="11" t="s">
        <v>44</v>
      </c>
      <c r="C40" s="11" t="s">
        <v>44</v>
      </c>
      <c r="D40" s="11" t="s">
        <v>44</v>
      </c>
      <c r="E40" s="11" t="s">
        <v>414</v>
      </c>
      <c r="F40" s="11" t="s">
        <v>414</v>
      </c>
      <c r="G40" s="11" t="s">
        <v>414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52</v>
      </c>
      <c r="B41" s="11" t="s">
        <v>413</v>
      </c>
      <c r="C41" s="11" t="s">
        <v>413</v>
      </c>
      <c r="D41" s="11" t="s">
        <v>413</v>
      </c>
      <c r="E41" s="11" t="s">
        <v>413</v>
      </c>
      <c r="F41" s="11" t="s">
        <v>413</v>
      </c>
      <c r="G41" s="11" t="s">
        <v>413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53</v>
      </c>
      <c r="B42" s="11" t="s">
        <v>413</v>
      </c>
      <c r="C42" s="11" t="s">
        <v>414</v>
      </c>
      <c r="D42" s="11" t="s">
        <v>414</v>
      </c>
      <c r="E42" s="11" t="s">
        <v>414</v>
      </c>
      <c r="F42" s="11" t="s">
        <v>414</v>
      </c>
      <c r="G42" s="11" t="s">
        <v>414</v>
      </c>
      <c r="H42" s="11" t="s">
        <v>414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54</v>
      </c>
      <c r="B43" s="11" t="s">
        <v>413</v>
      </c>
      <c r="C43" s="11" t="s">
        <v>414</v>
      </c>
      <c r="D43" s="11" t="s">
        <v>414</v>
      </c>
      <c r="E43" s="11" t="s">
        <v>414</v>
      </c>
      <c r="F43" s="11" t="s">
        <v>414</v>
      </c>
      <c r="G43" s="11" t="s">
        <v>414</v>
      </c>
      <c r="H43" s="11" t="s">
        <v>414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55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— unused —</v>
      </c>
    </row>
    <row r="45" spans="1:12" x14ac:dyDescent="0.3">
      <c r="A45" s="10" t="s">
        <v>56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— unused —</v>
      </c>
    </row>
    <row r="46" spans="1:12" x14ac:dyDescent="0.3">
      <c r="A46" s="10" t="s">
        <v>57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— unused —</v>
      </c>
    </row>
    <row r="47" spans="1:12" x14ac:dyDescent="0.3">
      <c r="A47" s="10" t="s">
        <v>58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— unused —</v>
      </c>
    </row>
    <row r="49" spans="1:12" x14ac:dyDescent="0.3">
      <c r="A49" s="12" t="s">
        <v>59</v>
      </c>
      <c r="B49" s="46" t="s">
        <v>60</v>
      </c>
      <c r="C49" s="47" t="s">
        <v>61</v>
      </c>
      <c r="D49" s="48" t="s">
        <v>62</v>
      </c>
      <c r="E49" s="49" t="s">
        <v>63</v>
      </c>
      <c r="F49" s="50" t="s">
        <v>64</v>
      </c>
      <c r="G49" s="51" t="s">
        <v>65</v>
      </c>
      <c r="H49" s="52" t="s">
        <v>66</v>
      </c>
    </row>
    <row r="50" spans="1:12" x14ac:dyDescent="0.3">
      <c r="A50" s="12" t="s">
        <v>67</v>
      </c>
      <c r="B50" s="73" t="s">
        <v>15</v>
      </c>
      <c r="C50" s="74" t="s">
        <v>18</v>
      </c>
      <c r="D50" s="75" t="s">
        <v>21</v>
      </c>
      <c r="E50" s="76" t="s">
        <v>68</v>
      </c>
      <c r="F50" s="77" t="s">
        <v>69</v>
      </c>
      <c r="G50" s="78" t="s">
        <v>70</v>
      </c>
      <c r="H50" s="79" t="s">
        <v>71</v>
      </c>
    </row>
    <row r="51" spans="1:12" x14ac:dyDescent="0.3">
      <c r="A51" s="12" t="s">
        <v>72</v>
      </c>
      <c r="B51" s="80" t="s">
        <v>24</v>
      </c>
      <c r="C51" s="81" t="s">
        <v>16</v>
      </c>
      <c r="D51" s="82" t="s">
        <v>73</v>
      </c>
      <c r="E51" s="83" t="s">
        <v>74</v>
      </c>
      <c r="F51" s="84" t="s">
        <v>75</v>
      </c>
      <c r="G51" s="85" t="s">
        <v>22</v>
      </c>
    </row>
    <row r="52" spans="1:12" x14ac:dyDescent="0.3">
      <c r="A52" s="88" t="s">
        <v>76</v>
      </c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</row>
  </sheetData>
  <mergeCells count="30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</mergeCells>
  <conditionalFormatting sqref="B34:J47">
    <cfRule type="expression" dxfId="25" priority="2">
      <formula>AND(B34&lt;&gt;"",IFERROR(MID(B34,FIND("-",B34)+1,FIND("-",B34,FIND("-",B34)+1)-FIND("-",B34)-1),"")="8")</formula>
    </cfRule>
    <cfRule type="expression" dxfId="24" priority="3">
      <formula>AND(B34&lt;&gt;"",IFERROR(MID(B34,FIND("-",B34)+1,FIND("-",B34,FIND("-",B34)+1)-FIND("-",B34)-1),"")="10")</formula>
    </cfRule>
    <cfRule type="expression" dxfId="23" priority="4">
      <formula>AND(B34&lt;&gt;"",IFERROR(MID(B34,FIND("-",B34)+1,FIND("-",B34,FIND("-",B34)+1)-FIND("-",B34)-1),"")="12")</formula>
    </cfRule>
    <cfRule type="expression" dxfId="22" priority="5">
      <formula>AND(B34&lt;&gt;"",IFERROR(MID(B34,FIND("-",B34)+1,FIND("-",B34,FIND("-",B34)+1)-FIND("-",B34)-1),"")="14")</formula>
    </cfRule>
    <cfRule type="expression" dxfId="21" priority="6">
      <formula>AND(B34&lt;&gt;"",IFERROR(MID(B34,FIND("-",B34)+1,FIND("-",B34,FIND("-",B34)+1)-FIND("-",B34)-1),"")="16")</formula>
    </cfRule>
    <cfRule type="expression" dxfId="20" priority="7">
      <formula>AND(B34&lt;&gt;"",IFERROR(MID(B34,FIND("-",B34)+1,FIND("-",B34,FIND("-",B34)+1)-FIND("-",B34)-1),"")="18")</formula>
    </cfRule>
    <cfRule type="expression" dxfId="19" priority="8">
      <formula>AND(B34&lt;&gt;"",IFERROR(MID(B34,FIND("-",B34)+1,FIND("-",B34,FIND("-",B34)+1)-FIND("-",B34)-1),"")="20")</formula>
    </cfRule>
    <cfRule type="expression" dxfId="18" priority="9">
      <formula>AND(B34&lt;&gt;"",IFERROR(LEFT(B34,FIND("-",B34)-1),"")="2x4")</formula>
    </cfRule>
    <cfRule type="expression" dxfId="17" priority="10">
      <formula>AND(B34&lt;&gt;"",IFERROR(LEFT(B34,FIND("-",B34)-1),"")="2x6")</formula>
    </cfRule>
    <cfRule type="expression" dxfId="16" priority="11">
      <formula>AND(B34&lt;&gt;"",IFERROR(LEFT(B34,FIND("-",B34)-1),"")="2x8")</formula>
    </cfRule>
    <cfRule type="expression" dxfId="15" priority="12">
      <formula>AND(B34&lt;&gt;"",IFERROR(LEFT(B34,FIND("-",B34)-1),"")="2x10")</formula>
    </cfRule>
    <cfRule type="expression" dxfId="14" priority="13">
      <formula>AND(B34&lt;&gt;"",IFERROR(LEFT(B34,FIND("-",B34)-1),"")="4x4")</formula>
    </cfRule>
    <cfRule type="expression" dxfId="13" priority="14">
      <formula>AND(B34&lt;&gt;"",IFERROR(LEFT(B34,FIND("-",B34)-1),"")="4x6")</formula>
    </cfRule>
    <cfRule type="expression" dxfId="12" priority="15">
      <formula>AND(B34&lt;&gt;"",IFERROR(LEFT(B34,FIND("-",B34)-1),"")="6x6")</formula>
    </cfRule>
    <cfRule type="expression" dxfId="11" priority="16">
      <formula>AND(B34&lt;&gt;"",IFERROR(MID(B34,FIND("-",B34,FIND("-",B34)+1)+1,9),"")="1")</formula>
    </cfRule>
    <cfRule type="expression" dxfId="10" priority="17">
      <formula>AND(B34&lt;&gt;"",IFERROR(MID(B34,FIND("-",B34,FIND("-",B34)+1)+1,9),"")="2")</formula>
    </cfRule>
    <cfRule type="expression" dxfId="9" priority="18">
      <formula>AND(B34&lt;&gt;"",IFERROR(MID(B34,FIND("-",B34,FIND("-",B34)+1)+1,9),"")="3")</formula>
    </cfRule>
    <cfRule type="expression" dxfId="8" priority="19">
      <formula>AND(B34&lt;&gt;"",IFERROR(MID(B34,FIND("-",B34,FIND("-",B34)+1)+1,9),"")="4")</formula>
    </cfRule>
    <cfRule type="expression" dxfId="7" priority="20">
      <formula>AND(B34&lt;&gt;"",IFERROR(MID(B34,FIND("-",B34,FIND("-",B34)+1)+1,9),"")="2P")</formula>
    </cfRule>
    <cfRule type="expression" dxfId="6" priority="21">
      <formula>AND(B34&lt;&gt;"",IFERROR(MID(B34,FIND("-",B34,FIND("-",B34)+1)+1,9),"")="MSR")</formula>
    </cfRule>
    <cfRule type="expression" dxfId="5" priority="22">
      <formula>ROW()-33&gt;$C$5</formula>
    </cfRule>
  </conditionalFormatting>
  <conditionalFormatting sqref="H10:H29">
    <cfRule type="cellIs" dxfId="4" priority="27" operator="lessThan">
      <formula>0</formula>
    </cfRule>
  </conditionalFormatting>
  <conditionalFormatting sqref="L34:L47">
    <cfRule type="expression" dxfId="3" priority="23">
      <formula>LEFT(L34,2)="OK"</formula>
    </cfRule>
    <cfRule type="expression" dxfId="2" priority="24">
      <formula>LEFT(L34,4)="OVER"</formula>
    </cfRule>
    <cfRule type="expression" dxfId="1" priority="25">
      <formula>LEFT(L34,5)="SHORT"</formula>
    </cfRule>
    <cfRule type="expression" dxfId="0" priority="26">
      <formula>L34="— unused —"</formula>
    </cfRule>
  </conditionalFormatting>
  <dataValidations count="5">
    <dataValidation type="list" sqref="C5" xr:uid="{00000000-0002-0000-0000-000000000000}">
      <formula1>"10,14"</formula1>
      <formula2>0</formula2>
    </dataValidation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L63"/>
  <sheetViews>
    <sheetView showGridLines="0" tabSelected="1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</cols>
  <sheetData>
    <row r="1" spans="1:12" ht="19.2" x14ac:dyDescent="0.35">
      <c r="A1" s="87" t="s">
        <v>77</v>
      </c>
      <c r="B1" s="87"/>
      <c r="C1" s="87"/>
      <c r="D1" s="87"/>
      <c r="E1" s="87"/>
      <c r="F1" s="87"/>
    </row>
    <row r="2" spans="1:12" x14ac:dyDescent="0.3">
      <c r="A2" s="88" t="s">
        <v>78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</row>
    <row r="4" spans="1:12" x14ac:dyDescent="0.3">
      <c r="A4" s="2" t="s">
        <v>79</v>
      </c>
      <c r="B4" t="s">
        <v>80</v>
      </c>
    </row>
    <row r="5" spans="1:12" x14ac:dyDescent="0.3">
      <c r="A5" s="2" t="s">
        <v>81</v>
      </c>
      <c r="B5">
        <f>Planner!C5</f>
        <v>10</v>
      </c>
    </row>
    <row r="6" spans="1:12" x14ac:dyDescent="0.3">
      <c r="A6" s="2" t="s">
        <v>17</v>
      </c>
      <c r="B6">
        <f>Planner!F30</f>
        <v>720</v>
      </c>
    </row>
    <row r="7" spans="1:12" x14ac:dyDescent="0.3">
      <c r="A7" s="2" t="s">
        <v>82</v>
      </c>
      <c r="B7" s="20">
        <f ca="1">TODAY()</f>
        <v>46189</v>
      </c>
    </row>
    <row r="8" spans="1:12" x14ac:dyDescent="0.3">
      <c r="A8" s="2" t="s">
        <v>83</v>
      </c>
      <c r="B8" s="21" t="s">
        <v>415</v>
      </c>
    </row>
    <row r="10" spans="1:12" x14ac:dyDescent="0.3">
      <c r="A10" s="12" t="s">
        <v>59</v>
      </c>
      <c r="B10" s="46" t="s">
        <v>60</v>
      </c>
      <c r="C10" s="47" t="s">
        <v>61</v>
      </c>
      <c r="D10" s="48" t="s">
        <v>62</v>
      </c>
      <c r="E10" s="49" t="s">
        <v>63</v>
      </c>
      <c r="F10" s="50" t="s">
        <v>64</v>
      </c>
      <c r="G10" s="51" t="s">
        <v>65</v>
      </c>
      <c r="H10" s="52" t="s">
        <v>66</v>
      </c>
    </row>
    <row r="11" spans="1:12" x14ac:dyDescent="0.3">
      <c r="A11" s="12" t="s">
        <v>67</v>
      </c>
      <c r="B11" s="13" t="s">
        <v>15</v>
      </c>
      <c r="C11" s="14" t="s">
        <v>18</v>
      </c>
      <c r="D11" s="15" t="s">
        <v>21</v>
      </c>
      <c r="E11" s="16" t="s">
        <v>68</v>
      </c>
      <c r="F11" s="17" t="s">
        <v>69</v>
      </c>
      <c r="G11" s="18" t="s">
        <v>70</v>
      </c>
      <c r="H11" s="19" t="s">
        <v>71</v>
      </c>
    </row>
    <row r="12" spans="1:12" x14ac:dyDescent="0.3">
      <c r="A12" s="12" t="s">
        <v>84</v>
      </c>
      <c r="B12" s="53" t="s">
        <v>24</v>
      </c>
      <c r="C12" s="54" t="s">
        <v>16</v>
      </c>
      <c r="D12" s="55" t="s">
        <v>73</v>
      </c>
      <c r="E12" s="56" t="s">
        <v>74</v>
      </c>
      <c r="F12" s="57" t="s">
        <v>75</v>
      </c>
      <c r="G12" s="58" t="s">
        <v>22</v>
      </c>
    </row>
    <row r="13" spans="1:12" x14ac:dyDescent="0.3">
      <c r="A13" s="86" t="s">
        <v>491</v>
      </c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</row>
    <row r="14" spans="1:12" ht="19.05" customHeight="1" x14ac:dyDescent="0.3"/>
    <row r="15" spans="1:12" ht="19.05" customHeight="1" x14ac:dyDescent="0.3"/>
    <row r="16" spans="1:12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86" t="s">
        <v>89</v>
      </c>
      <c r="B46" s="86"/>
      <c r="C46" s="86"/>
      <c r="D46" s="86"/>
      <c r="E46" s="86"/>
      <c r="F46" s="86"/>
      <c r="G46" s="86"/>
      <c r="H46" s="86"/>
    </row>
    <row r="47" spans="1:8" x14ac:dyDescent="0.3">
      <c r="A47" s="5" t="s">
        <v>90</v>
      </c>
      <c r="B47" s="28" t="s">
        <v>24</v>
      </c>
      <c r="C47" s="29" t="s">
        <v>16</v>
      </c>
      <c r="D47" s="30" t="s">
        <v>73</v>
      </c>
      <c r="E47" s="31" t="s">
        <v>74</v>
      </c>
      <c r="F47" s="32" t="s">
        <v>75</v>
      </c>
      <c r="G47" s="33" t="s">
        <v>22</v>
      </c>
      <c r="H47" s="5" t="s">
        <v>41</v>
      </c>
    </row>
    <row r="48" spans="1:8" x14ac:dyDescent="0.3">
      <c r="A48" s="59" t="s">
        <v>15</v>
      </c>
      <c r="B48" s="8">
        <f>SUMIFS(Planner!$G$10:$G$29,Planner!$B$10:$B$29,"2x4",Planner!$D$10:$D$29,"1")</f>
        <v>0</v>
      </c>
      <c r="C48" s="8">
        <f>SUMIFS(Planner!$G$10:$G$29,Planner!$B$10:$B$29,"2x4",Planner!$D$10:$D$29,"2")</f>
        <v>0</v>
      </c>
      <c r="D48" s="8">
        <f>SUMIFS(Planner!$G$10:$G$29,Planner!$B$10:$B$29,"2x4",Planner!$D$10:$D$29,"3")</f>
        <v>0</v>
      </c>
      <c r="E48" s="8">
        <f>SUMIFS(Planner!$G$10:$G$29,Planner!$B$10:$B$29,"2x4",Planner!$D$10:$D$29,"4")</f>
        <v>0</v>
      </c>
      <c r="F48" s="8">
        <f>SUMIFS(Planner!$G$10:$G$29,Planner!$B$10:$B$29,"2x4",Planner!$D$10:$D$29,"2P")</f>
        <v>0</v>
      </c>
      <c r="G48" s="8">
        <f>SUMIFS(Planner!$G$10:$G$29,Planner!$B$10:$B$29,"2x4",Planner!$D$10:$D$29,"MSR")</f>
        <v>0</v>
      </c>
      <c r="H48" s="1">
        <f t="shared" ref="H48:H54" si="0">SUM(B48:G48)</f>
        <v>0</v>
      </c>
    </row>
    <row r="49" spans="1:8" x14ac:dyDescent="0.3">
      <c r="A49" s="60" t="s">
        <v>18</v>
      </c>
      <c r="B49" s="8">
        <f>SUMIFS(Planner!$G$10:$G$29,Planner!$B$10:$B$29,"2x6",Planner!$D$10:$D$29,"1")</f>
        <v>0</v>
      </c>
      <c r="C49" s="8">
        <f>SUMIFS(Planner!$G$10:$G$29,Planner!$B$10:$B$29,"2x6",Planner!$D$10:$D$29,"2")</f>
        <v>58</v>
      </c>
      <c r="D49" s="8">
        <f>SUMIFS(Planner!$G$10:$G$29,Planner!$B$10:$B$29,"2x6",Planner!$D$10:$D$29,"3")</f>
        <v>0</v>
      </c>
      <c r="E49" s="8">
        <f>SUMIFS(Planner!$G$10:$G$29,Planner!$B$10:$B$29,"2x6",Planner!$D$10:$D$29,"4")</f>
        <v>0</v>
      </c>
      <c r="F49" s="8">
        <f>SUMIFS(Planner!$G$10:$G$29,Planner!$B$10:$B$29,"2x6",Planner!$D$10:$D$29,"2P")</f>
        <v>0</v>
      </c>
      <c r="G49" s="8">
        <f>SUMIFS(Planner!$G$10:$G$29,Planner!$B$10:$B$29,"2x6",Planner!$D$10:$D$29,"MSR")</f>
        <v>0</v>
      </c>
      <c r="H49" s="1">
        <f t="shared" si="0"/>
        <v>58</v>
      </c>
    </row>
    <row r="50" spans="1:8" x14ac:dyDescent="0.3">
      <c r="A50" s="61" t="s">
        <v>21</v>
      </c>
      <c r="B50" s="8">
        <f>SUMIFS(Planner!$G$10:$G$29,Planner!$B$10:$B$29,"2x8",Planner!$D$10:$D$29,"1")</f>
        <v>0</v>
      </c>
      <c r="C50" s="8">
        <f>SUMIFS(Planner!$G$10:$G$29,Planner!$B$10:$B$29,"2x8",Planner!$D$10:$D$29,"2")</f>
        <v>0</v>
      </c>
      <c r="D50" s="8">
        <f>SUMIFS(Planner!$G$10:$G$29,Planner!$B$10:$B$29,"2x8",Planner!$D$10:$D$29,"3")</f>
        <v>0</v>
      </c>
      <c r="E50" s="8">
        <f>SUMIFS(Planner!$G$10:$G$29,Planner!$B$10:$B$29,"2x8",Planner!$D$10:$D$29,"4")</f>
        <v>0</v>
      </c>
      <c r="F50" s="8">
        <f>SUMIFS(Planner!$G$10:$G$29,Planner!$B$10:$B$29,"2x8",Planner!$D$10:$D$29,"2P")</f>
        <v>0</v>
      </c>
      <c r="G50" s="8">
        <f>SUMIFS(Planner!$G$10:$G$29,Planner!$B$10:$B$29,"2x8",Planner!$D$10:$D$29,"MSR")</f>
        <v>0</v>
      </c>
      <c r="H50" s="1">
        <f t="shared" si="0"/>
        <v>0</v>
      </c>
    </row>
    <row r="51" spans="1:8" x14ac:dyDescent="0.3">
      <c r="A51" s="62" t="s">
        <v>68</v>
      </c>
      <c r="B51" s="8">
        <f>SUMIFS(Planner!$G$10:$G$29,Planner!$B$10:$B$29,"2x10",Planner!$D$10:$D$29,"1")</f>
        <v>0</v>
      </c>
      <c r="C51" s="8">
        <f>SUMIFS(Planner!$G$10:$G$29,Planner!$B$10:$B$29,"2x10",Planner!$D$10:$D$29,"2")</f>
        <v>0</v>
      </c>
      <c r="D51" s="8">
        <f>SUMIFS(Planner!$G$10:$G$29,Planner!$B$10:$B$29,"2x10",Planner!$D$10:$D$29,"3")</f>
        <v>0</v>
      </c>
      <c r="E51" s="8">
        <f>SUMIFS(Planner!$G$10:$G$29,Planner!$B$10:$B$29,"2x10",Planner!$D$10:$D$29,"4")</f>
        <v>0</v>
      </c>
      <c r="F51" s="8">
        <f>SUMIFS(Planner!$G$10:$G$29,Planner!$B$10:$B$29,"2x10",Planner!$D$10:$D$29,"2P")</f>
        <v>0</v>
      </c>
      <c r="G51" s="8">
        <f>SUMIFS(Planner!$G$10:$G$29,Planner!$B$10:$B$29,"2x10",Planner!$D$10:$D$29,"MSR")</f>
        <v>0</v>
      </c>
      <c r="H51" s="1">
        <f t="shared" si="0"/>
        <v>0</v>
      </c>
    </row>
    <row r="52" spans="1:8" x14ac:dyDescent="0.3">
      <c r="A52" s="63" t="s">
        <v>69</v>
      </c>
      <c r="B52" s="8">
        <f>SUMIFS(Planner!$G$10:$G$29,Planner!$B$10:$B$29,"4x4",Planner!$D$10:$D$29,"1")</f>
        <v>0</v>
      </c>
      <c r="C52" s="8">
        <f>SUMIFS(Planner!$G$10:$G$29,Planner!$B$10:$B$29,"4x4",Planner!$D$10:$D$29,"2")</f>
        <v>0</v>
      </c>
      <c r="D52" s="8">
        <f>SUMIFS(Planner!$G$10:$G$29,Planner!$B$10:$B$29,"4x4",Planner!$D$10:$D$29,"3")</f>
        <v>0</v>
      </c>
      <c r="E52" s="8">
        <f>SUMIFS(Planner!$G$10:$G$29,Planner!$B$10:$B$29,"4x4",Planner!$D$10:$D$29,"4")</f>
        <v>0</v>
      </c>
      <c r="F52" s="8">
        <f>SUMIFS(Planner!$G$10:$G$29,Planner!$B$10:$B$29,"4x4",Planner!$D$10:$D$29,"2P")</f>
        <v>0</v>
      </c>
      <c r="G52" s="8">
        <f>SUMIFS(Planner!$G$10:$G$29,Planner!$B$10:$B$29,"4x4",Planner!$D$10:$D$29,"MSR")</f>
        <v>0</v>
      </c>
      <c r="H52" s="1">
        <f t="shared" si="0"/>
        <v>0</v>
      </c>
    </row>
    <row r="53" spans="1:8" x14ac:dyDescent="0.3">
      <c r="A53" s="64" t="s">
        <v>70</v>
      </c>
      <c r="B53" s="8">
        <f>SUMIFS(Planner!$G$10:$G$29,Planner!$B$10:$B$29,"4x6",Planner!$D$10:$D$29,"1")</f>
        <v>0</v>
      </c>
      <c r="C53" s="8">
        <f>SUMIFS(Planner!$G$10:$G$29,Planner!$B$10:$B$29,"4x6",Planner!$D$10:$D$29,"2")</f>
        <v>0</v>
      </c>
      <c r="D53" s="8">
        <f>SUMIFS(Planner!$G$10:$G$29,Planner!$B$10:$B$29,"4x6",Planner!$D$10:$D$29,"3")</f>
        <v>0</v>
      </c>
      <c r="E53" s="8">
        <f>SUMIFS(Planner!$G$10:$G$29,Planner!$B$10:$B$29,"4x6",Planner!$D$10:$D$29,"4")</f>
        <v>0</v>
      </c>
      <c r="F53" s="8">
        <f>SUMIFS(Planner!$G$10:$G$29,Planner!$B$10:$B$29,"4x6",Planner!$D$10:$D$29,"2P")</f>
        <v>0</v>
      </c>
      <c r="G53" s="8">
        <f>SUMIFS(Planner!$G$10:$G$29,Planner!$B$10:$B$29,"4x6",Planner!$D$10:$D$29,"MSR")</f>
        <v>0</v>
      </c>
      <c r="H53" s="1">
        <f t="shared" si="0"/>
        <v>0</v>
      </c>
    </row>
    <row r="54" spans="1:8" x14ac:dyDescent="0.3">
      <c r="A54" s="65" t="s">
        <v>71</v>
      </c>
      <c r="B54" s="8">
        <f>SUMIFS(Planner!$G$10:$G$29,Planner!$B$10:$B$29,"6x6",Planner!$D$10:$D$29,"1")</f>
        <v>0</v>
      </c>
      <c r="C54" s="8">
        <f>SUMIFS(Planner!$G$10:$G$29,Planner!$B$10:$B$29,"6x6",Planner!$D$10:$D$29,"2")</f>
        <v>0</v>
      </c>
      <c r="D54" s="8">
        <f>SUMIFS(Planner!$G$10:$G$29,Planner!$B$10:$B$29,"6x6",Planner!$D$10:$D$29,"3")</f>
        <v>0</v>
      </c>
      <c r="E54" s="8">
        <f>SUMIFS(Planner!$G$10:$G$29,Planner!$B$10:$B$29,"6x6",Planner!$D$10:$D$29,"4")</f>
        <v>0</v>
      </c>
      <c r="F54" s="8">
        <f>SUMIFS(Planner!$G$10:$G$29,Planner!$B$10:$B$29,"6x6",Planner!$D$10:$D$29,"2P")</f>
        <v>0</v>
      </c>
      <c r="G54" s="8">
        <f>SUMIFS(Planner!$G$10:$G$29,Planner!$B$10:$B$29,"6x6",Planner!$D$10:$D$29,"MSR")</f>
        <v>0</v>
      </c>
      <c r="H54" s="1">
        <f t="shared" si="0"/>
        <v>0</v>
      </c>
    </row>
    <row r="55" spans="1:8" x14ac:dyDescent="0.3">
      <c r="A55" s="86" t="s">
        <v>85</v>
      </c>
      <c r="B55" s="86"/>
      <c r="C55" s="86"/>
      <c r="E55" s="86" t="s">
        <v>86</v>
      </c>
      <c r="F55" s="86"/>
      <c r="G55" s="86"/>
    </row>
    <row r="56" spans="1:8" x14ac:dyDescent="0.3">
      <c r="A56" s="5" t="s">
        <v>7</v>
      </c>
      <c r="B56" s="5" t="s">
        <v>87</v>
      </c>
      <c r="C56" s="5" t="s">
        <v>88</v>
      </c>
      <c r="E56" s="5" t="s">
        <v>9</v>
      </c>
      <c r="F56" s="5" t="s">
        <v>87</v>
      </c>
      <c r="G56" s="5" t="s">
        <v>88</v>
      </c>
    </row>
    <row r="57" spans="1:8" x14ac:dyDescent="0.3">
      <c r="A57" s="59" t="s">
        <v>15</v>
      </c>
      <c r="B57" s="8">
        <f>SUMIF(Planner!$B$10:$B$29,"2x4",Planner!$G$10:$G$29)</f>
        <v>0</v>
      </c>
      <c r="C57" s="8">
        <f>SUMIF(Planner!$B$10:$B$29,"2x4",Planner!$I$10:$I$29)</f>
        <v>0</v>
      </c>
      <c r="E57" s="22" t="s">
        <v>24</v>
      </c>
      <c r="F57" s="8">
        <f>SUMIF(Planner!$D$10:$D$29,"1",Planner!$G$10:$G$29)</f>
        <v>0</v>
      </c>
      <c r="G57" s="8">
        <f>SUMIF(Planner!$D$10:$D$29,"1",Planner!$I$10:$I$29)</f>
        <v>0</v>
      </c>
    </row>
    <row r="58" spans="1:8" x14ac:dyDescent="0.3">
      <c r="A58" s="60" t="s">
        <v>18</v>
      </c>
      <c r="B58" s="8">
        <f>SUMIF(Planner!$B$10:$B$29,"2x6",Planner!$G$10:$G$29)</f>
        <v>58</v>
      </c>
      <c r="C58" s="8">
        <f>SUMIF(Planner!$B$10:$B$29,"2x6",Planner!$I$10:$I$29)</f>
        <v>720</v>
      </c>
      <c r="E58" s="23" t="s">
        <v>16</v>
      </c>
      <c r="F58" s="8">
        <f>SUMIF(Planner!$D$10:$D$29,"2",Planner!$G$10:$G$29)</f>
        <v>58</v>
      </c>
      <c r="G58" s="8">
        <f>SUMIF(Planner!$D$10:$D$29,"2",Planner!$I$10:$I$29)</f>
        <v>720</v>
      </c>
    </row>
    <row r="59" spans="1:8" x14ac:dyDescent="0.3">
      <c r="A59" s="61" t="s">
        <v>21</v>
      </c>
      <c r="B59" s="8">
        <f>SUMIF(Planner!$B$10:$B$29,"2x8",Planner!$G$10:$G$29)</f>
        <v>0</v>
      </c>
      <c r="C59" s="8">
        <f>SUMIF(Planner!$B$10:$B$29,"2x8",Planner!$I$10:$I$29)</f>
        <v>0</v>
      </c>
      <c r="E59" s="24" t="s">
        <v>73</v>
      </c>
      <c r="F59" s="8">
        <f>SUMIF(Planner!$D$10:$D$29,"3",Planner!$G$10:$G$29)</f>
        <v>0</v>
      </c>
      <c r="G59" s="8">
        <f>SUMIF(Planner!$D$10:$D$29,"3",Planner!$I$10:$I$29)</f>
        <v>0</v>
      </c>
    </row>
    <row r="60" spans="1:8" x14ac:dyDescent="0.3">
      <c r="A60" s="62" t="s">
        <v>68</v>
      </c>
      <c r="B60" s="8">
        <f>SUMIF(Planner!$B$10:$B$29,"2x10",Planner!$G$10:$G$29)</f>
        <v>0</v>
      </c>
      <c r="C60" s="8">
        <f>SUMIF(Planner!$B$10:$B$29,"2x10",Planner!$I$10:$I$29)</f>
        <v>0</v>
      </c>
      <c r="E60" s="25" t="s">
        <v>74</v>
      </c>
      <c r="F60" s="8">
        <f>SUMIF(Planner!$D$10:$D$29,"4",Planner!$G$10:$G$29)</f>
        <v>0</v>
      </c>
      <c r="G60" s="8">
        <f>SUMIF(Planner!$D$10:$D$29,"4",Planner!$I$10:$I$29)</f>
        <v>0</v>
      </c>
    </row>
    <row r="61" spans="1:8" x14ac:dyDescent="0.3">
      <c r="A61" s="63" t="s">
        <v>69</v>
      </c>
      <c r="B61" s="8">
        <f>SUMIF(Planner!$B$10:$B$29,"4x4",Planner!$G$10:$G$29)</f>
        <v>0</v>
      </c>
      <c r="C61" s="8">
        <f>SUMIF(Planner!$B$10:$B$29,"4x4",Planner!$I$10:$I$29)</f>
        <v>0</v>
      </c>
      <c r="E61" s="26" t="s">
        <v>75</v>
      </c>
      <c r="F61" s="8">
        <f>SUMIF(Planner!$D$10:$D$29,"2P",Planner!$G$10:$G$29)</f>
        <v>0</v>
      </c>
      <c r="G61" s="8">
        <f>SUMIF(Planner!$D$10:$D$29,"2P",Planner!$I$10:$I$29)</f>
        <v>0</v>
      </c>
    </row>
    <row r="62" spans="1:8" x14ac:dyDescent="0.3">
      <c r="A62" s="64" t="s">
        <v>70</v>
      </c>
      <c r="B62" s="8">
        <f>SUMIF(Planner!$B$10:$B$29,"4x6",Planner!$G$10:$G$29)</f>
        <v>0</v>
      </c>
      <c r="C62" s="8">
        <f>SUMIF(Planner!$B$10:$B$29,"4x6",Planner!$I$10:$I$29)</f>
        <v>0</v>
      </c>
      <c r="E62" s="27" t="s">
        <v>22</v>
      </c>
      <c r="F62" s="8">
        <f>SUMIF(Planner!$D$10:$D$29,"MSR",Planner!$G$10:$G$29)</f>
        <v>0</v>
      </c>
      <c r="G62" s="8">
        <f>SUMIF(Planner!$D$10:$D$29,"MSR",Planner!$I$10:$I$29)</f>
        <v>0</v>
      </c>
    </row>
    <row r="63" spans="1:8" x14ac:dyDescent="0.3">
      <c r="A63" s="65" t="s">
        <v>71</v>
      </c>
      <c r="B63" s="8">
        <f>SUMIF(Planner!$B$10:$B$29,"6x6",Planner!$G$10:$G$29)</f>
        <v>0</v>
      </c>
      <c r="C63" s="8">
        <f>SUMIF(Planner!$B$10:$B$29,"6x6",Planner!$I$10:$I$29)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422</v>
      </c>
    </row>
    <row r="2" spans="2:2" x14ac:dyDescent="0.3">
      <c r="B2" s="41" t="s">
        <v>423</v>
      </c>
    </row>
    <row r="3" spans="2:2" ht="6" customHeight="1" x14ac:dyDescent="0.3">
      <c r="B3" s="39"/>
    </row>
    <row r="4" spans="2:2" ht="15.6" x14ac:dyDescent="0.3">
      <c r="B4" s="42" t="s">
        <v>424</v>
      </c>
    </row>
    <row r="5" spans="2:2" ht="27.6" x14ac:dyDescent="0.3">
      <c r="B5" s="43" t="s">
        <v>425</v>
      </c>
    </row>
    <row r="6" spans="2:2" x14ac:dyDescent="0.3">
      <c r="B6" s="43" t="s">
        <v>426</v>
      </c>
    </row>
    <row r="7" spans="2:2" ht="27.6" x14ac:dyDescent="0.3">
      <c r="B7" s="43" t="s">
        <v>427</v>
      </c>
    </row>
    <row r="8" spans="2:2" x14ac:dyDescent="0.3">
      <c r="B8" s="43" t="s">
        <v>428</v>
      </c>
    </row>
    <row r="9" spans="2:2" ht="6" customHeight="1" x14ac:dyDescent="0.3">
      <c r="B9" s="39"/>
    </row>
    <row r="10" spans="2:2" ht="15.6" x14ac:dyDescent="0.3">
      <c r="B10" s="42" t="s">
        <v>429</v>
      </c>
    </row>
    <row r="11" spans="2:2" ht="27.6" x14ac:dyDescent="0.3">
      <c r="B11" s="43" t="s">
        <v>430</v>
      </c>
    </row>
    <row r="12" spans="2:2" x14ac:dyDescent="0.3">
      <c r="B12" s="43" t="s">
        <v>431</v>
      </c>
    </row>
    <row r="13" spans="2:2" x14ac:dyDescent="0.3">
      <c r="B13" s="43" t="s">
        <v>432</v>
      </c>
    </row>
    <row r="14" spans="2:2" x14ac:dyDescent="0.3">
      <c r="B14" s="43" t="s">
        <v>433</v>
      </c>
    </row>
    <row r="15" spans="2:2" x14ac:dyDescent="0.3">
      <c r="B15" s="43" t="s">
        <v>434</v>
      </c>
    </row>
    <row r="16" spans="2:2" ht="6" customHeight="1" x14ac:dyDescent="0.3">
      <c r="B16" s="39"/>
    </row>
    <row r="17" spans="2:2" ht="15.6" x14ac:dyDescent="0.3">
      <c r="B17" s="42" t="s">
        <v>435</v>
      </c>
    </row>
    <row r="18" spans="2:2" x14ac:dyDescent="0.3">
      <c r="B18" s="44" t="s">
        <v>436</v>
      </c>
    </row>
    <row r="19" spans="2:2" x14ac:dyDescent="0.3">
      <c r="B19" s="43" t="s">
        <v>437</v>
      </c>
    </row>
    <row r="20" spans="2:2" x14ac:dyDescent="0.3">
      <c r="B20" s="43" t="s">
        <v>438</v>
      </c>
    </row>
    <row r="21" spans="2:2" x14ac:dyDescent="0.3">
      <c r="B21" s="43" t="s">
        <v>439</v>
      </c>
    </row>
    <row r="22" spans="2:2" x14ac:dyDescent="0.3">
      <c r="B22" s="44" t="s">
        <v>440</v>
      </c>
    </row>
    <row r="23" spans="2:2" x14ac:dyDescent="0.3">
      <c r="B23" s="43" t="s">
        <v>441</v>
      </c>
    </row>
    <row r="24" spans="2:2" x14ac:dyDescent="0.3">
      <c r="B24" s="43" t="s">
        <v>442</v>
      </c>
    </row>
    <row r="25" spans="2:2" x14ac:dyDescent="0.3">
      <c r="B25" s="45" t="s">
        <v>443</v>
      </c>
    </row>
    <row r="26" spans="2:2" x14ac:dyDescent="0.3">
      <c r="B26" s="44" t="s">
        <v>444</v>
      </c>
    </row>
    <row r="27" spans="2:2" x14ac:dyDescent="0.3">
      <c r="B27" s="43" t="s">
        <v>445</v>
      </c>
    </row>
    <row r="28" spans="2:2" x14ac:dyDescent="0.3">
      <c r="B28" s="43" t="s">
        <v>446</v>
      </c>
    </row>
    <row r="29" spans="2:2" x14ac:dyDescent="0.3">
      <c r="B29" s="43" t="s">
        <v>447</v>
      </c>
    </row>
    <row r="30" spans="2:2" x14ac:dyDescent="0.3">
      <c r="B30" s="43" t="s">
        <v>448</v>
      </c>
    </row>
    <row r="31" spans="2:2" x14ac:dyDescent="0.3">
      <c r="B31" s="43" t="s">
        <v>449</v>
      </c>
    </row>
    <row r="32" spans="2:2" x14ac:dyDescent="0.3">
      <c r="B32" s="44" t="s">
        <v>450</v>
      </c>
    </row>
    <row r="33" spans="2:2" x14ac:dyDescent="0.3">
      <c r="B33" s="43" t="s">
        <v>451</v>
      </c>
    </row>
    <row r="34" spans="2:2" x14ac:dyDescent="0.3">
      <c r="B34" s="43" t="s">
        <v>452</v>
      </c>
    </row>
    <row r="35" spans="2:2" ht="27.6" x14ac:dyDescent="0.3">
      <c r="B35" s="43" t="s">
        <v>453</v>
      </c>
    </row>
    <row r="36" spans="2:2" x14ac:dyDescent="0.3">
      <c r="B36" s="44" t="s">
        <v>454</v>
      </c>
    </row>
    <row r="37" spans="2:2" x14ac:dyDescent="0.3">
      <c r="B37" s="43" t="s">
        <v>455</v>
      </c>
    </row>
    <row r="38" spans="2:2" x14ac:dyDescent="0.3">
      <c r="B38" s="43" t="s">
        <v>456</v>
      </c>
    </row>
    <row r="39" spans="2:2" x14ac:dyDescent="0.3">
      <c r="B39" s="43" t="s">
        <v>457</v>
      </c>
    </row>
    <row r="40" spans="2:2" x14ac:dyDescent="0.3">
      <c r="B40" s="43" t="s">
        <v>458</v>
      </c>
    </row>
    <row r="41" spans="2:2" ht="6" customHeight="1" x14ac:dyDescent="0.3">
      <c r="B41" s="39"/>
    </row>
    <row r="42" spans="2:2" ht="15.6" x14ac:dyDescent="0.3">
      <c r="B42" s="42" t="s">
        <v>459</v>
      </c>
    </row>
    <row r="43" spans="2:2" x14ac:dyDescent="0.3">
      <c r="B43" s="44" t="s">
        <v>460</v>
      </c>
    </row>
    <row r="44" spans="2:2" x14ac:dyDescent="0.3">
      <c r="B44" s="43" t="s">
        <v>461</v>
      </c>
    </row>
    <row r="45" spans="2:2" x14ac:dyDescent="0.3">
      <c r="B45" s="43" t="s">
        <v>462</v>
      </c>
    </row>
    <row r="46" spans="2:2" x14ac:dyDescent="0.3">
      <c r="B46" s="43" t="s">
        <v>463</v>
      </c>
    </row>
    <row r="47" spans="2:2" x14ac:dyDescent="0.3">
      <c r="B47" s="44" t="s">
        <v>464</v>
      </c>
    </row>
    <row r="48" spans="2:2" ht="27.6" x14ac:dyDescent="0.3">
      <c r="B48" s="43" t="s">
        <v>465</v>
      </c>
    </row>
    <row r="49" spans="2:2" ht="6" customHeight="1" x14ac:dyDescent="0.3">
      <c r="B49" s="39"/>
    </row>
    <row r="50" spans="2:2" ht="15.6" x14ac:dyDescent="0.3">
      <c r="B50" s="42" t="s">
        <v>466</v>
      </c>
    </row>
    <row r="51" spans="2:2" ht="27.6" x14ac:dyDescent="0.3">
      <c r="B51" s="43" t="s">
        <v>467</v>
      </c>
    </row>
    <row r="52" spans="2:2" x14ac:dyDescent="0.3">
      <c r="B52" s="43" t="s">
        <v>468</v>
      </c>
    </row>
    <row r="53" spans="2:2" x14ac:dyDescent="0.3">
      <c r="B53" s="43" t="s">
        <v>469</v>
      </c>
    </row>
    <row r="54" spans="2:2" ht="26.4" x14ac:dyDescent="0.3">
      <c r="B54" s="45" t="s">
        <v>470</v>
      </c>
    </row>
    <row r="55" spans="2:2" ht="6" customHeight="1" x14ac:dyDescent="0.3">
      <c r="B55" s="39"/>
    </row>
    <row r="56" spans="2:2" ht="15.6" x14ac:dyDescent="0.3">
      <c r="B56" s="42" t="s">
        <v>471</v>
      </c>
    </row>
    <row r="57" spans="2:2" x14ac:dyDescent="0.3">
      <c r="B57" s="43" t="s">
        <v>472</v>
      </c>
    </row>
    <row r="58" spans="2:2" x14ac:dyDescent="0.3">
      <c r="B58" s="43" t="s">
        <v>473</v>
      </c>
    </row>
    <row r="59" spans="2:2" x14ac:dyDescent="0.3">
      <c r="B59" s="43" t="s">
        <v>474</v>
      </c>
    </row>
    <row r="60" spans="2:2" ht="26.4" x14ac:dyDescent="0.3">
      <c r="B60" s="45" t="s">
        <v>475</v>
      </c>
    </row>
    <row r="61" spans="2:2" ht="6" customHeight="1" x14ac:dyDescent="0.3">
      <c r="B61" s="39"/>
    </row>
    <row r="62" spans="2:2" ht="15.6" x14ac:dyDescent="0.3">
      <c r="B62" s="42" t="s">
        <v>476</v>
      </c>
    </row>
    <row r="63" spans="2:2" ht="27.6" x14ac:dyDescent="0.3">
      <c r="B63" s="43" t="s">
        <v>477</v>
      </c>
    </row>
    <row r="64" spans="2:2" x14ac:dyDescent="0.3">
      <c r="B64" s="43" t="s">
        <v>478</v>
      </c>
    </row>
    <row r="65" spans="2:2" ht="6" customHeight="1" x14ac:dyDescent="0.3">
      <c r="B65" s="39"/>
    </row>
    <row r="66" spans="2:2" ht="15.6" x14ac:dyDescent="0.3">
      <c r="B66" s="42" t="s">
        <v>479</v>
      </c>
    </row>
    <row r="67" spans="2:2" x14ac:dyDescent="0.3">
      <c r="B67" s="43" t="s">
        <v>480</v>
      </c>
    </row>
    <row r="68" spans="2:2" ht="6" customHeight="1" x14ac:dyDescent="0.3">
      <c r="B68" s="39"/>
    </row>
    <row r="69" spans="2:2" ht="15.6" x14ac:dyDescent="0.3">
      <c r="B69" s="42" t="s">
        <v>481</v>
      </c>
    </row>
    <row r="70" spans="2:2" ht="27.6" x14ac:dyDescent="0.3">
      <c r="B70" s="43" t="s">
        <v>482</v>
      </c>
    </row>
    <row r="71" spans="2:2" ht="27.6" x14ac:dyDescent="0.3">
      <c r="B71" s="43" t="s">
        <v>483</v>
      </c>
    </row>
    <row r="72" spans="2:2" ht="27.6" x14ac:dyDescent="0.3">
      <c r="B72" s="43" t="s">
        <v>484</v>
      </c>
    </row>
    <row r="73" spans="2:2" ht="6" customHeight="1" x14ac:dyDescent="0.3">
      <c r="B73" s="39"/>
    </row>
    <row r="74" spans="2:2" ht="15.6" x14ac:dyDescent="0.3">
      <c r="B74" s="42" t="s">
        <v>485</v>
      </c>
    </row>
    <row r="75" spans="2:2" ht="27.6" x14ac:dyDescent="0.3">
      <c r="B75" s="43" t="s">
        <v>486</v>
      </c>
    </row>
    <row r="76" spans="2:2" x14ac:dyDescent="0.3">
      <c r="B76" s="43" t="s">
        <v>487</v>
      </c>
    </row>
    <row r="77" spans="2:2" x14ac:dyDescent="0.3">
      <c r="B77" s="43" t="s">
        <v>488</v>
      </c>
    </row>
    <row r="78" spans="2:2" ht="27.6" x14ac:dyDescent="0.3">
      <c r="B78" s="43" t="s">
        <v>489</v>
      </c>
    </row>
    <row r="79" spans="2:2" ht="6" customHeight="1" x14ac:dyDescent="0.3">
      <c r="B79" s="39"/>
    </row>
    <row r="80" spans="2:2" x14ac:dyDescent="0.3">
      <c r="B80" s="41" t="s">
        <v>490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1" ht="17.399999999999999" x14ac:dyDescent="0.3">
      <c r="A1" s="104" t="s">
        <v>91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</row>
    <row r="2" spans="1:11" x14ac:dyDescent="0.3">
      <c r="A2" s="88" t="s">
        <v>92</v>
      </c>
      <c r="B2" s="88"/>
      <c r="C2" s="88"/>
      <c r="D2" s="88"/>
      <c r="E2" s="88"/>
      <c r="F2" s="88"/>
      <c r="G2" s="88"/>
      <c r="H2" s="88"/>
      <c r="I2" s="88"/>
      <c r="J2" s="88"/>
      <c r="K2" s="88"/>
    </row>
    <row r="4" spans="1:11" x14ac:dyDescent="0.3">
      <c r="A4" s="5" t="s">
        <v>6</v>
      </c>
      <c r="B4" s="5" t="s">
        <v>93</v>
      </c>
      <c r="C4" s="46" t="s">
        <v>60</v>
      </c>
      <c r="D4" s="47" t="s">
        <v>61</v>
      </c>
      <c r="E4" s="48" t="s">
        <v>62</v>
      </c>
      <c r="F4" s="49" t="s">
        <v>63</v>
      </c>
      <c r="G4" s="50" t="s">
        <v>64</v>
      </c>
      <c r="H4" s="51" t="s">
        <v>65</v>
      </c>
      <c r="I4" s="52" t="s">
        <v>66</v>
      </c>
      <c r="J4" s="5" t="s">
        <v>41</v>
      </c>
    </row>
    <row r="5" spans="1:11" x14ac:dyDescent="0.3">
      <c r="A5" s="8">
        <v>1</v>
      </c>
      <c r="B5" s="34" t="s">
        <v>94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1" x14ac:dyDescent="0.3">
      <c r="A6" s="8">
        <v>2</v>
      </c>
      <c r="B6" s="34" t="s">
        <v>95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1" x14ac:dyDescent="0.3">
      <c r="A7" s="8">
        <v>3</v>
      </c>
      <c r="B7" s="34" t="s">
        <v>96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1" x14ac:dyDescent="0.3">
      <c r="A8" s="8">
        <v>4</v>
      </c>
      <c r="B8" s="34" t="s">
        <v>97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1" x14ac:dyDescent="0.3">
      <c r="A9" s="8">
        <v>5</v>
      </c>
      <c r="B9" s="34" t="s">
        <v>98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1" x14ac:dyDescent="0.3">
      <c r="A10" s="8">
        <v>6</v>
      </c>
      <c r="B10" s="34" t="s">
        <v>99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1" x14ac:dyDescent="0.3">
      <c r="A11" s="8">
        <v>7</v>
      </c>
      <c r="B11" s="34" t="s">
        <v>100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1" x14ac:dyDescent="0.3">
      <c r="A12" s="8">
        <v>8</v>
      </c>
      <c r="B12" s="34" t="s">
        <v>101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1" x14ac:dyDescent="0.3">
      <c r="A13" s="8">
        <v>9</v>
      </c>
      <c r="B13" s="34" t="s">
        <v>102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1" x14ac:dyDescent="0.3">
      <c r="A14" s="8">
        <v>10</v>
      </c>
      <c r="B14" s="34" t="s">
        <v>103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1" x14ac:dyDescent="0.3">
      <c r="A15" s="8">
        <v>11</v>
      </c>
      <c r="B15" s="34" t="s">
        <v>104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1" x14ac:dyDescent="0.3">
      <c r="A16" s="8">
        <v>12</v>
      </c>
      <c r="B16" s="34" t="s">
        <v>105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106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107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108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109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110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111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112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113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114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115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116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117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118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119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120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121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122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123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124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125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126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127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128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129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130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131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132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133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134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135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136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137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138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139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140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141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142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143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144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145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146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147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148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149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150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151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152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153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154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155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156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157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158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159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160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161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162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163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164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165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166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167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168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169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170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171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172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173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174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175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176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177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178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179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180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181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182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183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184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185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186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187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188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189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190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191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192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193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194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195</v>
      </c>
      <c r="C107" s="46" t="s">
        <v>60</v>
      </c>
      <c r="D107" s="47" t="s">
        <v>61</v>
      </c>
      <c r="E107" s="48" t="s">
        <v>62</v>
      </c>
      <c r="F107" s="49" t="s">
        <v>63</v>
      </c>
      <c r="G107" s="50" t="s">
        <v>64</v>
      </c>
      <c r="H107" s="51" t="s">
        <v>65</v>
      </c>
      <c r="I107" s="52" t="s">
        <v>66</v>
      </c>
    </row>
  </sheetData>
  <mergeCells count="2">
    <mergeCell ref="A1:K1"/>
    <mergeCell ref="A2:K2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04" t="s">
        <v>196</v>
      </c>
      <c r="B1" s="104"/>
      <c r="C1" s="104"/>
      <c r="D1" s="104"/>
      <c r="E1" s="104"/>
      <c r="F1" s="104"/>
      <c r="G1" s="104"/>
      <c r="H1" s="104"/>
    </row>
    <row r="3" spans="1:8" x14ac:dyDescent="0.3">
      <c r="A3" s="105"/>
      <c r="B3" s="105"/>
      <c r="C3" s="105"/>
      <c r="D3" s="105"/>
      <c r="E3" s="105"/>
      <c r="F3" s="105"/>
      <c r="G3" s="105"/>
      <c r="H3" s="105"/>
    </row>
    <row r="4" spans="1:8" x14ac:dyDescent="0.3">
      <c r="A4" s="105" t="s">
        <v>197</v>
      </c>
      <c r="B4" s="105"/>
      <c r="C4" s="105"/>
      <c r="D4" s="105"/>
      <c r="E4" s="105"/>
      <c r="F4" s="105"/>
      <c r="G4" s="105"/>
      <c r="H4" s="105"/>
    </row>
    <row r="5" spans="1:8" x14ac:dyDescent="0.3">
      <c r="A5" s="105" t="s">
        <v>198</v>
      </c>
      <c r="B5" s="105"/>
      <c r="C5" s="105"/>
      <c r="D5" s="105"/>
      <c r="E5" s="105"/>
      <c r="F5" s="105"/>
      <c r="G5" s="105"/>
      <c r="H5" s="105"/>
    </row>
    <row r="6" spans="1:8" x14ac:dyDescent="0.3">
      <c r="A6" s="105" t="s">
        <v>199</v>
      </c>
      <c r="B6" s="105"/>
      <c r="C6" s="105"/>
      <c r="D6" s="105"/>
      <c r="E6" s="105"/>
      <c r="F6" s="105"/>
      <c r="G6" s="105"/>
      <c r="H6" s="105"/>
    </row>
    <row r="7" spans="1:8" x14ac:dyDescent="0.3">
      <c r="A7" s="105" t="s">
        <v>200</v>
      </c>
      <c r="B7" s="105"/>
      <c r="C7" s="105"/>
      <c r="D7" s="105"/>
      <c r="E7" s="105"/>
      <c r="F7" s="105"/>
      <c r="G7" s="105"/>
      <c r="H7" s="105"/>
    </row>
    <row r="8" spans="1:8" x14ac:dyDescent="0.3">
      <c r="A8" s="105" t="s">
        <v>201</v>
      </c>
      <c r="B8" s="105"/>
      <c r="C8" s="105"/>
      <c r="D8" s="105"/>
      <c r="E8" s="105"/>
      <c r="F8" s="105"/>
      <c r="G8" s="105"/>
      <c r="H8" s="105"/>
    </row>
    <row r="9" spans="1:8" x14ac:dyDescent="0.3">
      <c r="A9" s="105" t="s">
        <v>202</v>
      </c>
      <c r="B9" s="105"/>
      <c r="C9" s="105"/>
      <c r="D9" s="105"/>
      <c r="E9" s="105"/>
      <c r="F9" s="105"/>
      <c r="G9" s="105"/>
      <c r="H9" s="105"/>
    </row>
    <row r="10" spans="1:8" x14ac:dyDescent="0.3">
      <c r="A10" s="105"/>
      <c r="B10" s="105"/>
      <c r="C10" s="105"/>
      <c r="D10" s="105"/>
      <c r="E10" s="105"/>
      <c r="F10" s="105"/>
      <c r="G10" s="105"/>
      <c r="H10" s="105"/>
    </row>
    <row r="11" spans="1:8" x14ac:dyDescent="0.3">
      <c r="A11" s="105" t="s">
        <v>203</v>
      </c>
      <c r="B11" s="105"/>
      <c r="C11" s="105"/>
      <c r="D11" s="105"/>
      <c r="E11" s="105"/>
      <c r="F11" s="105"/>
      <c r="G11" s="105"/>
      <c r="H11" s="105"/>
    </row>
    <row r="12" spans="1:8" x14ac:dyDescent="0.3">
      <c r="A12" s="105"/>
      <c r="B12" s="105"/>
      <c r="C12" s="105"/>
      <c r="D12" s="105"/>
      <c r="E12" s="105"/>
      <c r="F12" s="105"/>
      <c r="G12" s="105"/>
      <c r="H12" s="105"/>
    </row>
    <row r="13" spans="1:8" x14ac:dyDescent="0.3">
      <c r="A13" s="100" t="s">
        <v>204</v>
      </c>
      <c r="B13" s="100"/>
      <c r="C13" s="100"/>
      <c r="D13" s="100"/>
      <c r="E13" s="100"/>
      <c r="F13" s="100"/>
      <c r="G13" s="100"/>
      <c r="H13" s="100"/>
    </row>
    <row r="15" spans="1:8" x14ac:dyDescent="0.3">
      <c r="A15" s="106" t="s">
        <v>205</v>
      </c>
      <c r="B15" s="106"/>
      <c r="C15" s="106"/>
      <c r="D15" s="106"/>
      <c r="E15" s="106"/>
      <c r="F15" s="106"/>
      <c r="G15" s="106"/>
      <c r="H15" s="106"/>
    </row>
    <row r="16" spans="1:8" x14ac:dyDescent="0.3">
      <c r="A16" s="106" t="s">
        <v>206</v>
      </c>
      <c r="B16" s="106"/>
      <c r="C16" s="106"/>
      <c r="D16" s="106"/>
      <c r="E16" s="106"/>
      <c r="F16" s="106"/>
      <c r="G16" s="106"/>
      <c r="H16" s="106"/>
    </row>
    <row r="17" spans="1:8" x14ac:dyDescent="0.3">
      <c r="A17" s="106" t="s">
        <v>207</v>
      </c>
      <c r="B17" s="106"/>
      <c r="C17" s="106"/>
      <c r="D17" s="106"/>
      <c r="E17" s="106"/>
      <c r="F17" s="106"/>
      <c r="G17" s="106"/>
      <c r="H17" s="106"/>
    </row>
    <row r="18" spans="1:8" x14ac:dyDescent="0.3">
      <c r="A18" s="106" t="s">
        <v>208</v>
      </c>
      <c r="B18" s="106"/>
      <c r="C18" s="106"/>
      <c r="D18" s="106"/>
      <c r="E18" s="106"/>
      <c r="F18" s="106"/>
      <c r="G18" s="106"/>
      <c r="H18" s="106"/>
    </row>
    <row r="19" spans="1:8" x14ac:dyDescent="0.3">
      <c r="A19" s="106" t="s">
        <v>209</v>
      </c>
      <c r="B19" s="106"/>
      <c r="C19" s="106"/>
      <c r="D19" s="106"/>
      <c r="E19" s="106"/>
      <c r="F19" s="106"/>
      <c r="G19" s="106"/>
      <c r="H19" s="106"/>
    </row>
    <row r="20" spans="1:8" x14ac:dyDescent="0.3">
      <c r="A20" s="106" t="s">
        <v>210</v>
      </c>
      <c r="B20" s="106"/>
      <c r="C20" s="106"/>
      <c r="D20" s="106"/>
      <c r="E20" s="106"/>
      <c r="F20" s="106"/>
      <c r="G20" s="106"/>
      <c r="H20" s="106"/>
    </row>
    <row r="21" spans="1:8" x14ac:dyDescent="0.3">
      <c r="A21" s="106" t="s">
        <v>211</v>
      </c>
      <c r="B21" s="106"/>
      <c r="C21" s="106"/>
      <c r="D21" s="106"/>
      <c r="E21" s="106"/>
      <c r="F21" s="106"/>
      <c r="G21" s="106"/>
      <c r="H21" s="106"/>
    </row>
    <row r="22" spans="1:8" x14ac:dyDescent="0.3">
      <c r="A22" s="106" t="s">
        <v>212</v>
      </c>
      <c r="B22" s="106"/>
      <c r="C22" s="106"/>
      <c r="D22" s="106"/>
      <c r="E22" s="106"/>
      <c r="F22" s="106"/>
      <c r="G22" s="106"/>
      <c r="H22" s="106"/>
    </row>
    <row r="23" spans="1:8" x14ac:dyDescent="0.3">
      <c r="A23" s="106" t="s">
        <v>213</v>
      </c>
      <c r="B23" s="106"/>
      <c r="C23" s="106"/>
      <c r="D23" s="106"/>
      <c r="E23" s="106"/>
      <c r="F23" s="106"/>
      <c r="G23" s="106"/>
      <c r="H23" s="106"/>
    </row>
    <row r="24" spans="1:8" x14ac:dyDescent="0.3">
      <c r="A24" s="106" t="s">
        <v>214</v>
      </c>
      <c r="B24" s="106"/>
      <c r="C24" s="106"/>
      <c r="D24" s="106"/>
      <c r="E24" s="106"/>
      <c r="F24" s="106"/>
      <c r="G24" s="106"/>
      <c r="H24" s="106"/>
    </row>
    <row r="25" spans="1:8" x14ac:dyDescent="0.3">
      <c r="A25" s="106" t="s">
        <v>215</v>
      </c>
      <c r="B25" s="106"/>
      <c r="C25" s="106"/>
      <c r="D25" s="106"/>
      <c r="E25" s="106"/>
      <c r="F25" s="106"/>
      <c r="G25" s="106"/>
      <c r="H25" s="106"/>
    </row>
    <row r="26" spans="1:8" x14ac:dyDescent="0.3">
      <c r="A26" s="106" t="s">
        <v>216</v>
      </c>
      <c r="B26" s="106"/>
      <c r="C26" s="106"/>
      <c r="D26" s="106"/>
      <c r="E26" s="106"/>
      <c r="F26" s="106"/>
      <c r="G26" s="106"/>
      <c r="H26" s="106"/>
    </row>
    <row r="27" spans="1:8" x14ac:dyDescent="0.3">
      <c r="A27" s="106" t="s">
        <v>217</v>
      </c>
      <c r="B27" s="106"/>
      <c r="C27" s="106"/>
      <c r="D27" s="106"/>
      <c r="E27" s="106"/>
      <c r="F27" s="106"/>
      <c r="G27" s="106"/>
      <c r="H27" s="106"/>
    </row>
    <row r="28" spans="1:8" x14ac:dyDescent="0.3">
      <c r="A28" s="106" t="s">
        <v>218</v>
      </c>
      <c r="B28" s="106"/>
      <c r="C28" s="106"/>
      <c r="D28" s="106"/>
      <c r="E28" s="106"/>
      <c r="F28" s="106"/>
      <c r="G28" s="106"/>
      <c r="H28" s="106"/>
    </row>
    <row r="29" spans="1:8" x14ac:dyDescent="0.3">
      <c r="A29" s="106" t="s">
        <v>219</v>
      </c>
      <c r="B29" s="106"/>
      <c r="C29" s="106"/>
      <c r="D29" s="106"/>
      <c r="E29" s="106"/>
      <c r="F29" s="106"/>
      <c r="G29" s="106"/>
      <c r="H29" s="106"/>
    </row>
    <row r="30" spans="1:8" x14ac:dyDescent="0.3">
      <c r="A30" s="106" t="s">
        <v>220</v>
      </c>
      <c r="B30" s="106"/>
      <c r="C30" s="106"/>
      <c r="D30" s="106"/>
      <c r="E30" s="106"/>
      <c r="F30" s="106"/>
      <c r="G30" s="106"/>
      <c r="H30" s="106"/>
    </row>
    <row r="31" spans="1:8" x14ac:dyDescent="0.3">
      <c r="A31" s="106" t="s">
        <v>221</v>
      </c>
      <c r="B31" s="106"/>
      <c r="C31" s="106"/>
      <c r="D31" s="106"/>
      <c r="E31" s="106"/>
      <c r="F31" s="106"/>
      <c r="G31" s="106"/>
      <c r="H31" s="106"/>
    </row>
    <row r="32" spans="1:8" x14ac:dyDescent="0.3">
      <c r="A32" s="106" t="s">
        <v>222</v>
      </c>
      <c r="B32" s="106"/>
      <c r="C32" s="106"/>
      <c r="D32" s="106"/>
      <c r="E32" s="106"/>
      <c r="F32" s="106"/>
      <c r="G32" s="106"/>
      <c r="H32" s="106"/>
    </row>
    <row r="33" spans="1:8" x14ac:dyDescent="0.3">
      <c r="A33" s="106" t="s">
        <v>223</v>
      </c>
      <c r="B33" s="106"/>
      <c r="C33" s="106"/>
      <c r="D33" s="106"/>
      <c r="E33" s="106"/>
      <c r="F33" s="106"/>
      <c r="G33" s="106"/>
      <c r="H33" s="106"/>
    </row>
    <row r="34" spans="1:8" x14ac:dyDescent="0.3">
      <c r="A34" s="106" t="s">
        <v>224</v>
      </c>
      <c r="B34" s="106"/>
      <c r="C34" s="106"/>
      <c r="D34" s="106"/>
      <c r="E34" s="106"/>
      <c r="F34" s="106"/>
      <c r="G34" s="106"/>
      <c r="H34" s="106"/>
    </row>
    <row r="35" spans="1:8" x14ac:dyDescent="0.3">
      <c r="A35" s="106" t="s">
        <v>213</v>
      </c>
      <c r="B35" s="106"/>
      <c r="C35" s="106"/>
      <c r="D35" s="106"/>
      <c r="E35" s="106"/>
      <c r="F35" s="106"/>
      <c r="G35" s="106"/>
      <c r="H35" s="106"/>
    </row>
    <row r="36" spans="1:8" x14ac:dyDescent="0.3">
      <c r="A36" s="106" t="s">
        <v>225</v>
      </c>
      <c r="B36" s="106"/>
      <c r="C36" s="106"/>
      <c r="D36" s="106"/>
      <c r="E36" s="106"/>
      <c r="F36" s="106"/>
      <c r="G36" s="106"/>
      <c r="H36" s="106"/>
    </row>
    <row r="37" spans="1:8" x14ac:dyDescent="0.3">
      <c r="A37" s="106" t="s">
        <v>226</v>
      </c>
      <c r="B37" s="106"/>
      <c r="C37" s="106"/>
      <c r="D37" s="106"/>
      <c r="E37" s="106"/>
      <c r="F37" s="106"/>
      <c r="G37" s="106"/>
      <c r="H37" s="106"/>
    </row>
    <row r="38" spans="1:8" x14ac:dyDescent="0.3">
      <c r="A38" s="106" t="s">
        <v>227</v>
      </c>
      <c r="B38" s="106"/>
      <c r="C38" s="106"/>
      <c r="D38" s="106"/>
      <c r="E38" s="106"/>
      <c r="F38" s="106"/>
      <c r="G38" s="106"/>
      <c r="H38" s="106"/>
    </row>
    <row r="39" spans="1:8" x14ac:dyDescent="0.3">
      <c r="A39" s="106" t="s">
        <v>228</v>
      </c>
      <c r="B39" s="106"/>
      <c r="C39" s="106"/>
      <c r="D39" s="106"/>
      <c r="E39" s="106"/>
      <c r="F39" s="106"/>
      <c r="G39" s="106"/>
      <c r="H39" s="106"/>
    </row>
    <row r="40" spans="1:8" x14ac:dyDescent="0.3">
      <c r="A40" s="106" t="s">
        <v>229</v>
      </c>
      <c r="B40" s="106"/>
      <c r="C40" s="106"/>
      <c r="D40" s="106"/>
      <c r="E40" s="106"/>
      <c r="F40" s="106"/>
      <c r="G40" s="106"/>
      <c r="H40" s="106"/>
    </row>
    <row r="41" spans="1:8" x14ac:dyDescent="0.3">
      <c r="A41" s="106" t="s">
        <v>230</v>
      </c>
      <c r="B41" s="106"/>
      <c r="C41" s="106"/>
      <c r="D41" s="106"/>
      <c r="E41" s="106"/>
      <c r="F41" s="106"/>
      <c r="G41" s="106"/>
      <c r="H41" s="106"/>
    </row>
    <row r="42" spans="1:8" x14ac:dyDescent="0.3">
      <c r="A42" s="106" t="s">
        <v>231</v>
      </c>
      <c r="B42" s="106"/>
      <c r="C42" s="106"/>
      <c r="D42" s="106"/>
      <c r="E42" s="106"/>
      <c r="F42" s="106"/>
      <c r="G42" s="106"/>
      <c r="H42" s="106"/>
    </row>
    <row r="43" spans="1:8" x14ac:dyDescent="0.3">
      <c r="A43" s="106" t="s">
        <v>232</v>
      </c>
      <c r="B43" s="106"/>
      <c r="C43" s="106"/>
      <c r="D43" s="106"/>
      <c r="E43" s="106"/>
      <c r="F43" s="106"/>
      <c r="G43" s="106"/>
      <c r="H43" s="106"/>
    </row>
    <row r="44" spans="1:8" x14ac:dyDescent="0.3">
      <c r="A44" s="106" t="s">
        <v>233</v>
      </c>
      <c r="B44" s="106"/>
      <c r="C44" s="106"/>
      <c r="D44" s="106"/>
      <c r="E44" s="106"/>
      <c r="F44" s="106"/>
      <c r="G44" s="106"/>
      <c r="H44" s="106"/>
    </row>
    <row r="45" spans="1:8" x14ac:dyDescent="0.3">
      <c r="A45" s="106" t="s">
        <v>234</v>
      </c>
      <c r="B45" s="106"/>
      <c r="C45" s="106"/>
      <c r="D45" s="106"/>
      <c r="E45" s="106"/>
      <c r="F45" s="106"/>
      <c r="G45" s="106"/>
      <c r="H45" s="106"/>
    </row>
    <row r="46" spans="1:8" x14ac:dyDescent="0.3">
      <c r="A46" s="106" t="s">
        <v>235</v>
      </c>
      <c r="B46" s="106"/>
      <c r="C46" s="106"/>
      <c r="D46" s="106"/>
      <c r="E46" s="106"/>
      <c r="F46" s="106"/>
      <c r="G46" s="106"/>
      <c r="H46" s="106"/>
    </row>
    <row r="47" spans="1:8" x14ac:dyDescent="0.3">
      <c r="A47" s="106" t="s">
        <v>236</v>
      </c>
      <c r="B47" s="106"/>
      <c r="C47" s="106"/>
      <c r="D47" s="106"/>
      <c r="E47" s="106"/>
      <c r="F47" s="106"/>
      <c r="G47" s="106"/>
      <c r="H47" s="106"/>
    </row>
    <row r="48" spans="1:8" x14ac:dyDescent="0.3">
      <c r="A48" s="106" t="s">
        <v>237</v>
      </c>
      <c r="B48" s="106"/>
      <c r="C48" s="106"/>
      <c r="D48" s="106"/>
      <c r="E48" s="106"/>
      <c r="F48" s="106"/>
      <c r="G48" s="106"/>
      <c r="H48" s="106"/>
    </row>
    <row r="49" spans="1:8" x14ac:dyDescent="0.3">
      <c r="A49" s="106" t="s">
        <v>238</v>
      </c>
      <c r="B49" s="106"/>
      <c r="C49" s="106"/>
      <c r="D49" s="106"/>
      <c r="E49" s="106"/>
      <c r="F49" s="106"/>
      <c r="G49" s="106"/>
      <c r="H49" s="106"/>
    </row>
    <row r="50" spans="1:8" x14ac:dyDescent="0.3">
      <c r="A50" s="106" t="s">
        <v>239</v>
      </c>
      <c r="B50" s="106"/>
      <c r="C50" s="106"/>
      <c r="D50" s="106"/>
      <c r="E50" s="106"/>
      <c r="F50" s="106"/>
      <c r="G50" s="106"/>
      <c r="H50" s="106"/>
    </row>
    <row r="51" spans="1:8" x14ac:dyDescent="0.3">
      <c r="A51" s="106" t="s">
        <v>240</v>
      </c>
      <c r="B51" s="106"/>
      <c r="C51" s="106"/>
      <c r="D51" s="106"/>
      <c r="E51" s="106"/>
      <c r="F51" s="106"/>
      <c r="G51" s="106"/>
      <c r="H51" s="106"/>
    </row>
    <row r="52" spans="1:8" x14ac:dyDescent="0.3">
      <c r="A52" s="106" t="s">
        <v>241</v>
      </c>
      <c r="B52" s="106"/>
      <c r="C52" s="106"/>
      <c r="D52" s="106"/>
      <c r="E52" s="106"/>
      <c r="F52" s="106"/>
      <c r="G52" s="106"/>
      <c r="H52" s="106"/>
    </row>
    <row r="53" spans="1:8" x14ac:dyDescent="0.3">
      <c r="A53" s="106" t="s">
        <v>242</v>
      </c>
      <c r="B53" s="106"/>
      <c r="C53" s="106"/>
      <c r="D53" s="106"/>
      <c r="E53" s="106"/>
      <c r="F53" s="106"/>
      <c r="G53" s="106"/>
      <c r="H53" s="106"/>
    </row>
    <row r="54" spans="1:8" x14ac:dyDescent="0.3">
      <c r="A54" s="106" t="s">
        <v>243</v>
      </c>
      <c r="B54" s="106"/>
      <c r="C54" s="106"/>
      <c r="D54" s="106"/>
      <c r="E54" s="106"/>
      <c r="F54" s="106"/>
      <c r="G54" s="106"/>
      <c r="H54" s="106"/>
    </row>
    <row r="55" spans="1:8" x14ac:dyDescent="0.3">
      <c r="A55" s="106" t="s">
        <v>244</v>
      </c>
      <c r="B55" s="106"/>
      <c r="C55" s="106"/>
      <c r="D55" s="106"/>
      <c r="E55" s="106"/>
      <c r="F55" s="106"/>
      <c r="G55" s="106"/>
      <c r="H55" s="106"/>
    </row>
    <row r="56" spans="1:8" x14ac:dyDescent="0.3">
      <c r="A56" s="106" t="s">
        <v>245</v>
      </c>
      <c r="B56" s="106"/>
      <c r="C56" s="106"/>
      <c r="D56" s="106"/>
      <c r="E56" s="106"/>
      <c r="F56" s="106"/>
      <c r="G56" s="106"/>
      <c r="H56" s="106"/>
    </row>
    <row r="57" spans="1:8" x14ac:dyDescent="0.3">
      <c r="A57" s="106" t="s">
        <v>213</v>
      </c>
      <c r="B57" s="106"/>
      <c r="C57" s="106"/>
      <c r="D57" s="106"/>
      <c r="E57" s="106"/>
      <c r="F57" s="106"/>
      <c r="G57" s="106"/>
      <c r="H57" s="106"/>
    </row>
    <row r="58" spans="1:8" x14ac:dyDescent="0.3">
      <c r="A58" s="106" t="s">
        <v>246</v>
      </c>
      <c r="B58" s="106"/>
      <c r="C58" s="106"/>
      <c r="D58" s="106"/>
      <c r="E58" s="106"/>
      <c r="F58" s="106"/>
      <c r="G58" s="106"/>
      <c r="H58" s="106"/>
    </row>
    <row r="59" spans="1:8" x14ac:dyDescent="0.3">
      <c r="A59" s="106" t="s">
        <v>247</v>
      </c>
      <c r="B59" s="106"/>
      <c r="C59" s="106"/>
      <c r="D59" s="106"/>
      <c r="E59" s="106"/>
      <c r="F59" s="106"/>
      <c r="G59" s="106"/>
      <c r="H59" s="106"/>
    </row>
    <row r="60" spans="1:8" x14ac:dyDescent="0.3">
      <c r="A60" s="106" t="s">
        <v>248</v>
      </c>
      <c r="B60" s="106"/>
      <c r="C60" s="106"/>
      <c r="D60" s="106"/>
      <c r="E60" s="106"/>
      <c r="F60" s="106"/>
      <c r="G60" s="106"/>
      <c r="H60" s="106"/>
    </row>
    <row r="61" spans="1:8" x14ac:dyDescent="0.3">
      <c r="A61" s="106" t="s">
        <v>249</v>
      </c>
      <c r="B61" s="106"/>
      <c r="C61" s="106"/>
      <c r="D61" s="106"/>
      <c r="E61" s="106"/>
      <c r="F61" s="106"/>
      <c r="G61" s="106"/>
      <c r="H61" s="106"/>
    </row>
    <row r="62" spans="1:8" x14ac:dyDescent="0.3">
      <c r="A62" s="106" t="s">
        <v>250</v>
      </c>
      <c r="B62" s="106"/>
      <c r="C62" s="106"/>
      <c r="D62" s="106"/>
      <c r="E62" s="106"/>
      <c r="F62" s="106"/>
      <c r="G62" s="106"/>
      <c r="H62" s="106"/>
    </row>
    <row r="63" spans="1:8" x14ac:dyDescent="0.3">
      <c r="A63" s="106" t="s">
        <v>251</v>
      </c>
      <c r="B63" s="106"/>
      <c r="C63" s="106"/>
      <c r="D63" s="106"/>
      <c r="E63" s="106"/>
      <c r="F63" s="106"/>
      <c r="G63" s="106"/>
      <c r="H63" s="106"/>
    </row>
    <row r="64" spans="1:8" x14ac:dyDescent="0.3">
      <c r="A64" s="106" t="s">
        <v>252</v>
      </c>
      <c r="B64" s="106"/>
      <c r="C64" s="106"/>
      <c r="D64" s="106"/>
      <c r="E64" s="106"/>
      <c r="F64" s="106"/>
      <c r="G64" s="106"/>
      <c r="H64" s="106"/>
    </row>
    <row r="65" spans="1:8" x14ac:dyDescent="0.3">
      <c r="A65" s="106" t="s">
        <v>253</v>
      </c>
      <c r="B65" s="106"/>
      <c r="C65" s="106"/>
      <c r="D65" s="106"/>
      <c r="E65" s="106"/>
      <c r="F65" s="106"/>
      <c r="G65" s="106"/>
      <c r="H65" s="106"/>
    </row>
    <row r="66" spans="1:8" x14ac:dyDescent="0.3">
      <c r="A66" s="106" t="s">
        <v>254</v>
      </c>
      <c r="B66" s="106"/>
      <c r="C66" s="106"/>
      <c r="D66" s="106"/>
      <c r="E66" s="106"/>
      <c r="F66" s="106"/>
      <c r="G66" s="106"/>
      <c r="H66" s="106"/>
    </row>
    <row r="67" spans="1:8" x14ac:dyDescent="0.3">
      <c r="A67" s="106" t="s">
        <v>213</v>
      </c>
      <c r="B67" s="106"/>
      <c r="C67" s="106"/>
      <c r="D67" s="106"/>
      <c r="E67" s="106"/>
      <c r="F67" s="106"/>
      <c r="G67" s="106"/>
      <c r="H67" s="106"/>
    </row>
    <row r="68" spans="1:8" x14ac:dyDescent="0.3">
      <c r="A68" s="106" t="s">
        <v>255</v>
      </c>
      <c r="B68" s="106"/>
      <c r="C68" s="106"/>
      <c r="D68" s="106"/>
      <c r="E68" s="106"/>
      <c r="F68" s="106"/>
      <c r="G68" s="106"/>
      <c r="H68" s="106"/>
    </row>
    <row r="69" spans="1:8" x14ac:dyDescent="0.3">
      <c r="A69" s="106" t="s">
        <v>256</v>
      </c>
      <c r="B69" s="106"/>
      <c r="C69" s="106"/>
      <c r="D69" s="106"/>
      <c r="E69" s="106"/>
      <c r="F69" s="106"/>
      <c r="G69" s="106"/>
      <c r="H69" s="106"/>
    </row>
    <row r="70" spans="1:8" x14ac:dyDescent="0.3">
      <c r="A70" s="106" t="s">
        <v>257</v>
      </c>
      <c r="B70" s="106"/>
      <c r="C70" s="106"/>
      <c r="D70" s="106"/>
      <c r="E70" s="106"/>
      <c r="F70" s="106"/>
      <c r="G70" s="106"/>
      <c r="H70" s="106"/>
    </row>
    <row r="71" spans="1:8" x14ac:dyDescent="0.3">
      <c r="A71" s="106" t="s">
        <v>258</v>
      </c>
      <c r="B71" s="106"/>
      <c r="C71" s="106"/>
      <c r="D71" s="106"/>
      <c r="E71" s="106"/>
      <c r="F71" s="106"/>
      <c r="G71" s="106"/>
      <c r="H71" s="106"/>
    </row>
    <row r="72" spans="1:8" x14ac:dyDescent="0.3">
      <c r="A72" s="106" t="s">
        <v>259</v>
      </c>
      <c r="B72" s="106"/>
      <c r="C72" s="106"/>
      <c r="D72" s="106"/>
      <c r="E72" s="106"/>
      <c r="F72" s="106"/>
      <c r="G72" s="106"/>
      <c r="H72" s="106"/>
    </row>
    <row r="73" spans="1:8" x14ac:dyDescent="0.3">
      <c r="A73" s="106" t="s">
        <v>260</v>
      </c>
      <c r="B73" s="106"/>
      <c r="C73" s="106"/>
      <c r="D73" s="106"/>
      <c r="E73" s="106"/>
      <c r="F73" s="106"/>
      <c r="G73" s="106"/>
      <c r="H73" s="106"/>
    </row>
    <row r="74" spans="1:8" x14ac:dyDescent="0.3">
      <c r="A74" s="106" t="s">
        <v>261</v>
      </c>
      <c r="B74" s="106"/>
      <c r="C74" s="106"/>
      <c r="D74" s="106"/>
      <c r="E74" s="106"/>
      <c r="F74" s="106"/>
      <c r="G74" s="106"/>
      <c r="H74" s="106"/>
    </row>
    <row r="75" spans="1:8" x14ac:dyDescent="0.3">
      <c r="A75" s="106" t="s">
        <v>262</v>
      </c>
      <c r="B75" s="106"/>
      <c r="C75" s="106"/>
      <c r="D75" s="106"/>
      <c r="E75" s="106"/>
      <c r="F75" s="106"/>
      <c r="G75" s="106"/>
      <c r="H75" s="106"/>
    </row>
    <row r="76" spans="1:8" x14ac:dyDescent="0.3">
      <c r="A76" s="106" t="s">
        <v>263</v>
      </c>
      <c r="B76" s="106"/>
      <c r="C76" s="106"/>
      <c r="D76" s="106"/>
      <c r="E76" s="106"/>
      <c r="F76" s="106"/>
      <c r="G76" s="106"/>
      <c r="H76" s="106"/>
    </row>
    <row r="77" spans="1:8" x14ac:dyDescent="0.3">
      <c r="A77" s="106" t="s">
        <v>259</v>
      </c>
      <c r="B77" s="106"/>
      <c r="C77" s="106"/>
      <c r="D77" s="106"/>
      <c r="E77" s="106"/>
      <c r="F77" s="106"/>
      <c r="G77" s="106"/>
      <c r="H77" s="106"/>
    </row>
    <row r="78" spans="1:8" x14ac:dyDescent="0.3">
      <c r="A78" s="106" t="s">
        <v>213</v>
      </c>
      <c r="B78" s="106"/>
      <c r="C78" s="106"/>
      <c r="D78" s="106"/>
      <c r="E78" s="106"/>
      <c r="F78" s="106"/>
      <c r="G78" s="106"/>
      <c r="H78" s="106"/>
    </row>
    <row r="79" spans="1:8" x14ac:dyDescent="0.3">
      <c r="A79" s="106" t="s">
        <v>264</v>
      </c>
      <c r="B79" s="106"/>
      <c r="C79" s="106"/>
      <c r="D79" s="106"/>
      <c r="E79" s="106"/>
      <c r="F79" s="106"/>
      <c r="G79" s="106"/>
      <c r="H79" s="106"/>
    </row>
    <row r="80" spans="1:8" x14ac:dyDescent="0.3">
      <c r="A80" s="106" t="s">
        <v>265</v>
      </c>
      <c r="B80" s="106"/>
      <c r="C80" s="106"/>
      <c r="D80" s="106"/>
      <c r="E80" s="106"/>
      <c r="F80" s="106"/>
      <c r="G80" s="106"/>
      <c r="H80" s="106"/>
    </row>
    <row r="81" spans="1:8" x14ac:dyDescent="0.3">
      <c r="A81" s="106" t="s">
        <v>266</v>
      </c>
      <c r="B81" s="106"/>
      <c r="C81" s="106"/>
      <c r="D81" s="106"/>
      <c r="E81" s="106"/>
      <c r="F81" s="106"/>
      <c r="G81" s="106"/>
      <c r="H81" s="106"/>
    </row>
    <row r="82" spans="1:8" x14ac:dyDescent="0.3">
      <c r="A82" s="106" t="s">
        <v>267</v>
      </c>
      <c r="B82" s="106"/>
      <c r="C82" s="106"/>
      <c r="D82" s="106"/>
      <c r="E82" s="106"/>
      <c r="F82" s="106"/>
      <c r="G82" s="106"/>
      <c r="H82" s="106"/>
    </row>
    <row r="83" spans="1:8" x14ac:dyDescent="0.3">
      <c r="A83" s="106" t="s">
        <v>268</v>
      </c>
      <c r="B83" s="106"/>
      <c r="C83" s="106"/>
      <c r="D83" s="106"/>
      <c r="E83" s="106"/>
      <c r="F83" s="106"/>
      <c r="G83" s="106"/>
      <c r="H83" s="106"/>
    </row>
    <row r="84" spans="1:8" x14ac:dyDescent="0.3">
      <c r="A84" s="106" t="s">
        <v>269</v>
      </c>
      <c r="B84" s="106"/>
      <c r="C84" s="106"/>
      <c r="D84" s="106"/>
      <c r="E84" s="106"/>
      <c r="F84" s="106"/>
      <c r="G84" s="106"/>
      <c r="H84" s="106"/>
    </row>
    <row r="85" spans="1:8" x14ac:dyDescent="0.3">
      <c r="A85" s="106" t="s">
        <v>270</v>
      </c>
      <c r="B85" s="106"/>
      <c r="C85" s="106"/>
      <c r="D85" s="106"/>
      <c r="E85" s="106"/>
      <c r="F85" s="106"/>
      <c r="G85" s="106"/>
      <c r="H85" s="106"/>
    </row>
    <row r="86" spans="1:8" x14ac:dyDescent="0.3">
      <c r="A86" s="106" t="s">
        <v>271</v>
      </c>
      <c r="B86" s="106"/>
      <c r="C86" s="106"/>
      <c r="D86" s="106"/>
      <c r="E86" s="106"/>
      <c r="F86" s="106"/>
      <c r="G86" s="106"/>
      <c r="H86" s="106"/>
    </row>
    <row r="87" spans="1:8" x14ac:dyDescent="0.3">
      <c r="A87" s="106" t="s">
        <v>272</v>
      </c>
      <c r="B87" s="106"/>
      <c r="C87" s="106"/>
      <c r="D87" s="106"/>
      <c r="E87" s="106"/>
      <c r="F87" s="106"/>
      <c r="G87" s="106"/>
      <c r="H87" s="106"/>
    </row>
    <row r="88" spans="1:8" x14ac:dyDescent="0.3">
      <c r="A88" s="106" t="s">
        <v>213</v>
      </c>
      <c r="B88" s="106"/>
      <c r="C88" s="106"/>
      <c r="D88" s="106"/>
      <c r="E88" s="106"/>
      <c r="F88" s="106"/>
      <c r="G88" s="106"/>
      <c r="H88" s="106"/>
    </row>
    <row r="89" spans="1:8" x14ac:dyDescent="0.3">
      <c r="A89" s="106" t="s">
        <v>273</v>
      </c>
      <c r="B89" s="106"/>
      <c r="C89" s="106"/>
      <c r="D89" s="106"/>
      <c r="E89" s="106"/>
      <c r="F89" s="106"/>
      <c r="G89" s="106"/>
      <c r="H89" s="106"/>
    </row>
    <row r="90" spans="1:8" x14ac:dyDescent="0.3">
      <c r="A90" s="106" t="s">
        <v>274</v>
      </c>
      <c r="B90" s="106"/>
      <c r="C90" s="106"/>
      <c r="D90" s="106"/>
      <c r="E90" s="106"/>
      <c r="F90" s="106"/>
      <c r="G90" s="106"/>
      <c r="H90" s="106"/>
    </row>
    <row r="91" spans="1:8" x14ac:dyDescent="0.3">
      <c r="A91" s="106" t="s">
        <v>275</v>
      </c>
      <c r="B91" s="106"/>
      <c r="C91" s="106"/>
      <c r="D91" s="106"/>
      <c r="E91" s="106"/>
      <c r="F91" s="106"/>
      <c r="G91" s="106"/>
      <c r="H91" s="106"/>
    </row>
    <row r="92" spans="1:8" x14ac:dyDescent="0.3">
      <c r="A92" s="106" t="s">
        <v>244</v>
      </c>
      <c r="B92" s="106"/>
      <c r="C92" s="106"/>
      <c r="D92" s="106"/>
      <c r="E92" s="106"/>
      <c r="F92" s="106"/>
      <c r="G92" s="106"/>
      <c r="H92" s="106"/>
    </row>
    <row r="93" spans="1:8" x14ac:dyDescent="0.3">
      <c r="A93" s="106" t="s">
        <v>276</v>
      </c>
      <c r="B93" s="106"/>
      <c r="C93" s="106"/>
      <c r="D93" s="106"/>
      <c r="E93" s="106"/>
      <c r="F93" s="106"/>
      <c r="G93" s="106"/>
      <c r="H93" s="106"/>
    </row>
    <row r="94" spans="1:8" x14ac:dyDescent="0.3">
      <c r="A94" s="106" t="s">
        <v>213</v>
      </c>
      <c r="B94" s="106"/>
      <c r="C94" s="106"/>
      <c r="D94" s="106"/>
      <c r="E94" s="106"/>
      <c r="F94" s="106"/>
      <c r="G94" s="106"/>
      <c r="H94" s="106"/>
    </row>
    <row r="95" spans="1:8" x14ac:dyDescent="0.3">
      <c r="A95" s="106" t="s">
        <v>277</v>
      </c>
      <c r="B95" s="106"/>
      <c r="C95" s="106"/>
      <c r="D95" s="106"/>
      <c r="E95" s="106"/>
      <c r="F95" s="106"/>
      <c r="G95" s="106"/>
      <c r="H95" s="106"/>
    </row>
    <row r="96" spans="1:8" x14ac:dyDescent="0.3">
      <c r="A96" s="106" t="s">
        <v>278</v>
      </c>
      <c r="B96" s="106"/>
      <c r="C96" s="106"/>
      <c r="D96" s="106"/>
      <c r="E96" s="106"/>
      <c r="F96" s="106"/>
      <c r="G96" s="106"/>
      <c r="H96" s="106"/>
    </row>
    <row r="97" spans="1:8" x14ac:dyDescent="0.3">
      <c r="A97" s="106" t="s">
        <v>279</v>
      </c>
      <c r="B97" s="106"/>
      <c r="C97" s="106"/>
      <c r="D97" s="106"/>
      <c r="E97" s="106"/>
      <c r="F97" s="106"/>
      <c r="G97" s="106"/>
      <c r="H97" s="106"/>
    </row>
    <row r="98" spans="1:8" x14ac:dyDescent="0.3">
      <c r="A98" s="106" t="s">
        <v>280</v>
      </c>
      <c r="B98" s="106"/>
      <c r="C98" s="106"/>
      <c r="D98" s="106"/>
      <c r="E98" s="106"/>
      <c r="F98" s="106"/>
      <c r="G98" s="106"/>
      <c r="H98" s="106"/>
    </row>
    <row r="99" spans="1:8" x14ac:dyDescent="0.3">
      <c r="A99" s="106" t="s">
        <v>281</v>
      </c>
      <c r="B99" s="106"/>
      <c r="C99" s="106"/>
      <c r="D99" s="106"/>
      <c r="E99" s="106"/>
      <c r="F99" s="106"/>
      <c r="G99" s="106"/>
      <c r="H99" s="106"/>
    </row>
    <row r="100" spans="1:8" x14ac:dyDescent="0.3">
      <c r="A100" s="106" t="s">
        <v>282</v>
      </c>
      <c r="B100" s="106"/>
      <c r="C100" s="106"/>
      <c r="D100" s="106"/>
      <c r="E100" s="106"/>
      <c r="F100" s="106"/>
      <c r="G100" s="106"/>
      <c r="H100" s="106"/>
    </row>
    <row r="101" spans="1:8" x14ac:dyDescent="0.3">
      <c r="A101" s="106" t="s">
        <v>283</v>
      </c>
      <c r="B101" s="106"/>
      <c r="C101" s="106"/>
      <c r="D101" s="106"/>
      <c r="E101" s="106"/>
      <c r="F101" s="106"/>
      <c r="G101" s="106"/>
      <c r="H101" s="106"/>
    </row>
    <row r="102" spans="1:8" x14ac:dyDescent="0.3">
      <c r="A102" s="106" t="s">
        <v>284</v>
      </c>
      <c r="B102" s="106"/>
      <c r="C102" s="106"/>
      <c r="D102" s="106"/>
      <c r="E102" s="106"/>
      <c r="F102" s="106"/>
      <c r="G102" s="106"/>
      <c r="H102" s="106"/>
    </row>
    <row r="103" spans="1:8" x14ac:dyDescent="0.3">
      <c r="A103" s="106" t="s">
        <v>285</v>
      </c>
      <c r="B103" s="106"/>
      <c r="C103" s="106"/>
      <c r="D103" s="106"/>
      <c r="E103" s="106"/>
      <c r="F103" s="106"/>
      <c r="G103" s="106"/>
      <c r="H103" s="106"/>
    </row>
    <row r="104" spans="1:8" x14ac:dyDescent="0.3">
      <c r="A104" s="106" t="s">
        <v>286</v>
      </c>
      <c r="B104" s="106"/>
      <c r="C104" s="106"/>
      <c r="D104" s="106"/>
      <c r="E104" s="106"/>
      <c r="F104" s="106"/>
      <c r="G104" s="106"/>
      <c r="H104" s="106"/>
    </row>
    <row r="105" spans="1:8" x14ac:dyDescent="0.3">
      <c r="A105" s="106" t="s">
        <v>213</v>
      </c>
      <c r="B105" s="106"/>
      <c r="C105" s="106"/>
      <c r="D105" s="106"/>
      <c r="E105" s="106"/>
      <c r="F105" s="106"/>
      <c r="G105" s="106"/>
      <c r="H105" s="106"/>
    </row>
    <row r="106" spans="1:8" x14ac:dyDescent="0.3">
      <c r="A106" s="106" t="s">
        <v>287</v>
      </c>
      <c r="B106" s="106"/>
      <c r="C106" s="106"/>
      <c r="D106" s="106"/>
      <c r="E106" s="106"/>
      <c r="F106" s="106"/>
      <c r="G106" s="106"/>
      <c r="H106" s="106"/>
    </row>
    <row r="107" spans="1:8" x14ac:dyDescent="0.3">
      <c r="A107" s="106" t="s">
        <v>288</v>
      </c>
      <c r="B107" s="106"/>
      <c r="C107" s="106"/>
      <c r="D107" s="106"/>
      <c r="E107" s="106"/>
      <c r="F107" s="106"/>
      <c r="G107" s="106"/>
      <c r="H107" s="106"/>
    </row>
    <row r="108" spans="1:8" x14ac:dyDescent="0.3">
      <c r="A108" s="106" t="s">
        <v>257</v>
      </c>
      <c r="B108" s="106"/>
      <c r="C108" s="106"/>
      <c r="D108" s="106"/>
      <c r="E108" s="106"/>
      <c r="F108" s="106"/>
      <c r="G108" s="106"/>
      <c r="H108" s="106"/>
    </row>
    <row r="109" spans="1:8" x14ac:dyDescent="0.3">
      <c r="A109" s="106" t="s">
        <v>289</v>
      </c>
      <c r="B109" s="106"/>
      <c r="C109" s="106"/>
      <c r="D109" s="106"/>
      <c r="E109" s="106"/>
      <c r="F109" s="106"/>
      <c r="G109" s="106"/>
      <c r="H109" s="106"/>
    </row>
    <row r="110" spans="1:8" x14ac:dyDescent="0.3">
      <c r="A110" s="106" t="s">
        <v>259</v>
      </c>
      <c r="B110" s="106"/>
      <c r="C110" s="106"/>
      <c r="D110" s="106"/>
      <c r="E110" s="106"/>
      <c r="F110" s="106"/>
      <c r="G110" s="106"/>
      <c r="H110" s="106"/>
    </row>
    <row r="111" spans="1:8" x14ac:dyDescent="0.3">
      <c r="A111" s="106" t="s">
        <v>290</v>
      </c>
      <c r="B111" s="106"/>
      <c r="C111" s="106"/>
      <c r="D111" s="106"/>
      <c r="E111" s="106"/>
      <c r="F111" s="106"/>
      <c r="G111" s="106"/>
      <c r="H111" s="106"/>
    </row>
    <row r="112" spans="1:8" x14ac:dyDescent="0.3">
      <c r="A112" s="106" t="s">
        <v>291</v>
      </c>
      <c r="B112" s="106"/>
      <c r="C112" s="106"/>
      <c r="D112" s="106"/>
      <c r="E112" s="106"/>
      <c r="F112" s="106"/>
      <c r="G112" s="106"/>
      <c r="H112" s="106"/>
    </row>
    <row r="113" spans="1:8" x14ac:dyDescent="0.3">
      <c r="A113" s="106" t="s">
        <v>292</v>
      </c>
      <c r="B113" s="106"/>
      <c r="C113" s="106"/>
      <c r="D113" s="106"/>
      <c r="E113" s="106"/>
      <c r="F113" s="106"/>
      <c r="G113" s="106"/>
      <c r="H113" s="106"/>
    </row>
    <row r="114" spans="1:8" x14ac:dyDescent="0.3">
      <c r="A114" s="106" t="s">
        <v>293</v>
      </c>
      <c r="B114" s="106"/>
      <c r="C114" s="106"/>
      <c r="D114" s="106"/>
      <c r="E114" s="106"/>
      <c r="F114" s="106"/>
      <c r="G114" s="106"/>
      <c r="H114" s="106"/>
    </row>
    <row r="115" spans="1:8" x14ac:dyDescent="0.3">
      <c r="A115" s="106" t="s">
        <v>257</v>
      </c>
      <c r="B115" s="106"/>
      <c r="C115" s="106"/>
      <c r="D115" s="106"/>
      <c r="E115" s="106"/>
      <c r="F115" s="106"/>
      <c r="G115" s="106"/>
      <c r="H115" s="106"/>
    </row>
    <row r="116" spans="1:8" x14ac:dyDescent="0.3">
      <c r="A116" s="106" t="s">
        <v>294</v>
      </c>
      <c r="B116" s="106"/>
      <c r="C116" s="106"/>
      <c r="D116" s="106"/>
      <c r="E116" s="106"/>
      <c r="F116" s="106"/>
      <c r="G116" s="106"/>
      <c r="H116" s="106"/>
    </row>
    <row r="117" spans="1:8" x14ac:dyDescent="0.3">
      <c r="A117" s="106" t="s">
        <v>295</v>
      </c>
      <c r="B117" s="106"/>
      <c r="C117" s="106"/>
      <c r="D117" s="106"/>
      <c r="E117" s="106"/>
      <c r="F117" s="106"/>
      <c r="G117" s="106"/>
      <c r="H117" s="106"/>
    </row>
    <row r="118" spans="1:8" x14ac:dyDescent="0.3">
      <c r="A118" s="106" t="s">
        <v>296</v>
      </c>
      <c r="B118" s="106"/>
      <c r="C118" s="106"/>
      <c r="D118" s="106"/>
      <c r="E118" s="106"/>
      <c r="F118" s="106"/>
      <c r="G118" s="106"/>
      <c r="H118" s="106"/>
    </row>
    <row r="119" spans="1:8" x14ac:dyDescent="0.3">
      <c r="A119" s="106" t="s">
        <v>297</v>
      </c>
      <c r="B119" s="106"/>
      <c r="C119" s="106"/>
      <c r="D119" s="106"/>
      <c r="E119" s="106"/>
      <c r="F119" s="106"/>
      <c r="G119" s="106"/>
      <c r="H119" s="106"/>
    </row>
    <row r="120" spans="1:8" x14ac:dyDescent="0.3">
      <c r="A120" s="106" t="s">
        <v>298</v>
      </c>
      <c r="B120" s="106"/>
      <c r="C120" s="106"/>
      <c r="D120" s="106"/>
      <c r="E120" s="106"/>
      <c r="F120" s="106"/>
      <c r="G120" s="106"/>
      <c r="H120" s="106"/>
    </row>
    <row r="121" spans="1:8" x14ac:dyDescent="0.3">
      <c r="A121" s="106" t="s">
        <v>299</v>
      </c>
      <c r="B121" s="106"/>
      <c r="C121" s="106"/>
      <c r="D121" s="106"/>
      <c r="E121" s="106"/>
      <c r="F121" s="106"/>
      <c r="G121" s="106"/>
      <c r="H121" s="106"/>
    </row>
    <row r="122" spans="1:8" x14ac:dyDescent="0.3">
      <c r="A122" s="106" t="s">
        <v>300</v>
      </c>
      <c r="B122" s="106"/>
      <c r="C122" s="106"/>
      <c r="D122" s="106"/>
      <c r="E122" s="106"/>
      <c r="F122" s="106"/>
      <c r="G122" s="106"/>
      <c r="H122" s="106"/>
    </row>
    <row r="123" spans="1:8" x14ac:dyDescent="0.3">
      <c r="A123" s="106" t="s">
        <v>301</v>
      </c>
      <c r="B123" s="106"/>
      <c r="C123" s="106"/>
      <c r="D123" s="106"/>
      <c r="E123" s="106"/>
      <c r="F123" s="106"/>
      <c r="G123" s="106"/>
      <c r="H123" s="106"/>
    </row>
    <row r="124" spans="1:8" x14ac:dyDescent="0.3">
      <c r="A124" s="106" t="s">
        <v>302</v>
      </c>
      <c r="B124" s="106"/>
      <c r="C124" s="106"/>
      <c r="D124" s="106"/>
      <c r="E124" s="106"/>
      <c r="F124" s="106"/>
      <c r="G124" s="106"/>
      <c r="H124" s="106"/>
    </row>
    <row r="125" spans="1:8" x14ac:dyDescent="0.3">
      <c r="A125" s="106" t="s">
        <v>303</v>
      </c>
      <c r="B125" s="106"/>
      <c r="C125" s="106"/>
      <c r="D125" s="106"/>
      <c r="E125" s="106"/>
      <c r="F125" s="106"/>
      <c r="G125" s="106"/>
      <c r="H125" s="106"/>
    </row>
    <row r="126" spans="1:8" x14ac:dyDescent="0.3">
      <c r="A126" s="106" t="s">
        <v>304</v>
      </c>
      <c r="B126" s="106"/>
      <c r="C126" s="106"/>
      <c r="D126" s="106"/>
      <c r="E126" s="106"/>
      <c r="F126" s="106"/>
      <c r="G126" s="106"/>
      <c r="H126" s="106"/>
    </row>
    <row r="127" spans="1:8" x14ac:dyDescent="0.3">
      <c r="A127" s="106" t="s">
        <v>305</v>
      </c>
      <c r="B127" s="106"/>
      <c r="C127" s="106"/>
      <c r="D127" s="106"/>
      <c r="E127" s="106"/>
      <c r="F127" s="106"/>
      <c r="G127" s="106"/>
      <c r="H127" s="106"/>
    </row>
    <row r="128" spans="1:8" x14ac:dyDescent="0.3">
      <c r="A128" s="106" t="s">
        <v>259</v>
      </c>
      <c r="B128" s="106"/>
      <c r="C128" s="106"/>
      <c r="D128" s="106"/>
      <c r="E128" s="106"/>
      <c r="F128" s="106"/>
      <c r="G128" s="106"/>
      <c r="H128" s="106"/>
    </row>
    <row r="129" spans="1:8" x14ac:dyDescent="0.3">
      <c r="A129" s="106" t="s">
        <v>213</v>
      </c>
      <c r="B129" s="106"/>
      <c r="C129" s="106"/>
      <c r="D129" s="106"/>
      <c r="E129" s="106"/>
      <c r="F129" s="106"/>
      <c r="G129" s="106"/>
      <c r="H129" s="106"/>
    </row>
    <row r="130" spans="1:8" x14ac:dyDescent="0.3">
      <c r="A130" s="106" t="s">
        <v>306</v>
      </c>
      <c r="B130" s="106"/>
      <c r="C130" s="106"/>
      <c r="D130" s="106"/>
      <c r="E130" s="106"/>
      <c r="F130" s="106"/>
      <c r="G130" s="106"/>
      <c r="H130" s="106"/>
    </row>
    <row r="131" spans="1:8" x14ac:dyDescent="0.3">
      <c r="A131" s="106" t="s">
        <v>307</v>
      </c>
      <c r="B131" s="106"/>
      <c r="C131" s="106"/>
      <c r="D131" s="106"/>
      <c r="E131" s="106"/>
      <c r="F131" s="106"/>
      <c r="G131" s="106"/>
      <c r="H131" s="106"/>
    </row>
    <row r="132" spans="1:8" x14ac:dyDescent="0.3">
      <c r="A132" s="106" t="s">
        <v>308</v>
      </c>
      <c r="B132" s="106"/>
      <c r="C132" s="106"/>
      <c r="D132" s="106"/>
      <c r="E132" s="106"/>
      <c r="F132" s="106"/>
      <c r="G132" s="106"/>
      <c r="H132" s="106"/>
    </row>
    <row r="133" spans="1:8" x14ac:dyDescent="0.3">
      <c r="A133" s="106" t="s">
        <v>309</v>
      </c>
      <c r="B133" s="106"/>
      <c r="C133" s="106"/>
      <c r="D133" s="106"/>
      <c r="E133" s="106"/>
      <c r="F133" s="106"/>
      <c r="G133" s="106"/>
      <c r="H133" s="106"/>
    </row>
    <row r="134" spans="1:8" x14ac:dyDescent="0.3">
      <c r="A134" s="106" t="s">
        <v>310</v>
      </c>
      <c r="B134" s="106"/>
      <c r="C134" s="106"/>
      <c r="D134" s="106"/>
      <c r="E134" s="106"/>
      <c r="F134" s="106"/>
      <c r="G134" s="106"/>
      <c r="H134" s="106"/>
    </row>
    <row r="135" spans="1:8" x14ac:dyDescent="0.3">
      <c r="A135" s="106" t="s">
        <v>311</v>
      </c>
      <c r="B135" s="106"/>
      <c r="C135" s="106"/>
      <c r="D135" s="106"/>
      <c r="E135" s="106"/>
      <c r="F135" s="106"/>
      <c r="G135" s="106"/>
      <c r="H135" s="106"/>
    </row>
    <row r="136" spans="1:8" x14ac:dyDescent="0.3">
      <c r="A136" s="106" t="s">
        <v>312</v>
      </c>
      <c r="B136" s="106"/>
      <c r="C136" s="106"/>
      <c r="D136" s="106"/>
      <c r="E136" s="106"/>
      <c r="F136" s="106"/>
      <c r="G136" s="106"/>
      <c r="H136" s="106"/>
    </row>
    <row r="137" spans="1:8" x14ac:dyDescent="0.3">
      <c r="A137" s="106" t="s">
        <v>313</v>
      </c>
      <c r="B137" s="106"/>
      <c r="C137" s="106"/>
      <c r="D137" s="106"/>
      <c r="E137" s="106"/>
      <c r="F137" s="106"/>
      <c r="G137" s="106"/>
      <c r="H137" s="106"/>
    </row>
    <row r="138" spans="1:8" x14ac:dyDescent="0.3">
      <c r="A138" s="106" t="s">
        <v>314</v>
      </c>
      <c r="B138" s="106"/>
      <c r="C138" s="106"/>
      <c r="D138" s="106"/>
      <c r="E138" s="106"/>
      <c r="F138" s="106"/>
      <c r="G138" s="106"/>
      <c r="H138" s="106"/>
    </row>
    <row r="139" spans="1:8" x14ac:dyDescent="0.3">
      <c r="A139" s="106" t="s">
        <v>315</v>
      </c>
      <c r="B139" s="106"/>
      <c r="C139" s="106"/>
      <c r="D139" s="106"/>
      <c r="E139" s="106"/>
      <c r="F139" s="106"/>
      <c r="G139" s="106"/>
      <c r="H139" s="106"/>
    </row>
    <row r="140" spans="1:8" x14ac:dyDescent="0.3">
      <c r="A140" s="106" t="s">
        <v>316</v>
      </c>
      <c r="B140" s="106"/>
      <c r="C140" s="106"/>
      <c r="D140" s="106"/>
      <c r="E140" s="106"/>
      <c r="F140" s="106"/>
      <c r="G140" s="106"/>
      <c r="H140" s="106"/>
    </row>
    <row r="141" spans="1:8" x14ac:dyDescent="0.3">
      <c r="A141" s="106" t="s">
        <v>317</v>
      </c>
      <c r="B141" s="106"/>
      <c r="C141" s="106"/>
      <c r="D141" s="106"/>
      <c r="E141" s="106"/>
      <c r="F141" s="106"/>
      <c r="G141" s="106"/>
      <c r="H141" s="106"/>
    </row>
    <row r="142" spans="1:8" x14ac:dyDescent="0.3">
      <c r="A142" s="106" t="s">
        <v>318</v>
      </c>
      <c r="B142" s="106"/>
      <c r="C142" s="106"/>
      <c r="D142" s="106"/>
      <c r="E142" s="106"/>
      <c r="F142" s="106"/>
      <c r="G142" s="106"/>
      <c r="H142" s="106"/>
    </row>
    <row r="143" spans="1:8" x14ac:dyDescent="0.3">
      <c r="A143" s="106" t="s">
        <v>319</v>
      </c>
      <c r="B143" s="106"/>
      <c r="C143" s="106"/>
      <c r="D143" s="106"/>
      <c r="E143" s="106"/>
      <c r="F143" s="106"/>
      <c r="G143" s="106"/>
      <c r="H143" s="106"/>
    </row>
    <row r="144" spans="1:8" x14ac:dyDescent="0.3">
      <c r="A144" s="106" t="s">
        <v>301</v>
      </c>
      <c r="B144" s="106"/>
      <c r="C144" s="106"/>
      <c r="D144" s="106"/>
      <c r="E144" s="106"/>
      <c r="F144" s="106"/>
      <c r="G144" s="106"/>
      <c r="H144" s="106"/>
    </row>
    <row r="145" spans="1:8" x14ac:dyDescent="0.3">
      <c r="A145" s="106" t="s">
        <v>320</v>
      </c>
      <c r="B145" s="106"/>
      <c r="C145" s="106"/>
      <c r="D145" s="106"/>
      <c r="E145" s="106"/>
      <c r="F145" s="106"/>
      <c r="G145" s="106"/>
      <c r="H145" s="106"/>
    </row>
    <row r="146" spans="1:8" x14ac:dyDescent="0.3">
      <c r="A146" s="106" t="s">
        <v>242</v>
      </c>
      <c r="B146" s="106"/>
      <c r="C146" s="106"/>
      <c r="D146" s="106"/>
      <c r="E146" s="106"/>
      <c r="F146" s="106"/>
      <c r="G146" s="106"/>
      <c r="H146" s="106"/>
    </row>
    <row r="147" spans="1:8" x14ac:dyDescent="0.3">
      <c r="A147" s="106" t="s">
        <v>321</v>
      </c>
      <c r="B147" s="106"/>
      <c r="C147" s="106"/>
      <c r="D147" s="106"/>
      <c r="E147" s="106"/>
      <c r="F147" s="106"/>
      <c r="G147" s="106"/>
      <c r="H147" s="106"/>
    </row>
    <row r="148" spans="1:8" x14ac:dyDescent="0.3">
      <c r="A148" s="106" t="s">
        <v>244</v>
      </c>
      <c r="B148" s="106"/>
      <c r="C148" s="106"/>
      <c r="D148" s="106"/>
      <c r="E148" s="106"/>
      <c r="F148" s="106"/>
      <c r="G148" s="106"/>
      <c r="H148" s="106"/>
    </row>
    <row r="149" spans="1:8" x14ac:dyDescent="0.3">
      <c r="A149" s="106" t="s">
        <v>322</v>
      </c>
      <c r="B149" s="106"/>
      <c r="C149" s="106"/>
      <c r="D149" s="106"/>
      <c r="E149" s="106"/>
      <c r="F149" s="106"/>
      <c r="G149" s="106"/>
      <c r="H149" s="106"/>
    </row>
    <row r="150" spans="1:8" x14ac:dyDescent="0.3">
      <c r="A150" s="106" t="s">
        <v>323</v>
      </c>
      <c r="B150" s="106"/>
      <c r="C150" s="106"/>
      <c r="D150" s="106"/>
      <c r="E150" s="106"/>
      <c r="F150" s="106"/>
      <c r="G150" s="106"/>
      <c r="H150" s="106"/>
    </row>
    <row r="151" spans="1:8" x14ac:dyDescent="0.3">
      <c r="A151" s="106" t="s">
        <v>213</v>
      </c>
      <c r="B151" s="106"/>
      <c r="C151" s="106"/>
      <c r="D151" s="106"/>
      <c r="E151" s="106"/>
      <c r="F151" s="106"/>
      <c r="G151" s="106"/>
      <c r="H151" s="106"/>
    </row>
    <row r="152" spans="1:8" x14ac:dyDescent="0.3">
      <c r="A152" s="106" t="s">
        <v>324</v>
      </c>
      <c r="B152" s="106"/>
      <c r="C152" s="106"/>
      <c r="D152" s="106"/>
      <c r="E152" s="106"/>
      <c r="F152" s="106"/>
      <c r="G152" s="106"/>
      <c r="H152" s="106"/>
    </row>
    <row r="153" spans="1:8" x14ac:dyDescent="0.3">
      <c r="A153" s="106" t="s">
        <v>325</v>
      </c>
      <c r="B153" s="106"/>
      <c r="C153" s="106"/>
      <c r="D153" s="106"/>
      <c r="E153" s="106"/>
      <c r="F153" s="106"/>
      <c r="G153" s="106"/>
      <c r="H153" s="106"/>
    </row>
    <row r="154" spans="1:8" x14ac:dyDescent="0.3">
      <c r="A154" s="106" t="s">
        <v>326</v>
      </c>
      <c r="B154" s="106"/>
      <c r="C154" s="106"/>
      <c r="D154" s="106"/>
      <c r="E154" s="106"/>
      <c r="F154" s="106"/>
      <c r="G154" s="106"/>
      <c r="H154" s="106"/>
    </row>
    <row r="155" spans="1:8" x14ac:dyDescent="0.3">
      <c r="A155" s="106" t="s">
        <v>327</v>
      </c>
      <c r="B155" s="106"/>
      <c r="C155" s="106"/>
      <c r="D155" s="106"/>
      <c r="E155" s="106"/>
      <c r="F155" s="106"/>
      <c r="G155" s="106"/>
      <c r="H155" s="106"/>
    </row>
    <row r="156" spans="1:8" x14ac:dyDescent="0.3">
      <c r="A156" s="106" t="s">
        <v>328</v>
      </c>
      <c r="B156" s="106"/>
      <c r="C156" s="106"/>
      <c r="D156" s="106"/>
      <c r="E156" s="106"/>
      <c r="F156" s="106"/>
      <c r="G156" s="106"/>
      <c r="H156" s="106"/>
    </row>
    <row r="157" spans="1:8" x14ac:dyDescent="0.3">
      <c r="A157" s="106" t="s">
        <v>329</v>
      </c>
      <c r="B157" s="106"/>
      <c r="C157" s="106"/>
      <c r="D157" s="106"/>
      <c r="E157" s="106"/>
      <c r="F157" s="106"/>
      <c r="G157" s="106"/>
      <c r="H157" s="106"/>
    </row>
    <row r="158" spans="1:8" x14ac:dyDescent="0.3">
      <c r="A158" s="106" t="s">
        <v>330</v>
      </c>
      <c r="B158" s="106"/>
      <c r="C158" s="106"/>
      <c r="D158" s="106"/>
      <c r="E158" s="106"/>
      <c r="F158" s="106"/>
      <c r="G158" s="106"/>
      <c r="H158" s="106"/>
    </row>
    <row r="159" spans="1:8" x14ac:dyDescent="0.3">
      <c r="A159" s="106" t="s">
        <v>331</v>
      </c>
      <c r="B159" s="106"/>
      <c r="C159" s="106"/>
      <c r="D159" s="106"/>
      <c r="E159" s="106"/>
      <c r="F159" s="106"/>
      <c r="G159" s="106"/>
      <c r="H159" s="106"/>
    </row>
    <row r="160" spans="1:8" x14ac:dyDescent="0.3">
      <c r="A160" s="106" t="s">
        <v>332</v>
      </c>
      <c r="B160" s="106"/>
      <c r="C160" s="106"/>
      <c r="D160" s="106"/>
      <c r="E160" s="106"/>
      <c r="F160" s="106"/>
      <c r="G160" s="106"/>
      <c r="H160" s="106"/>
    </row>
    <row r="161" spans="1:8" x14ac:dyDescent="0.3">
      <c r="A161" s="106" t="s">
        <v>333</v>
      </c>
      <c r="B161" s="106"/>
      <c r="C161" s="106"/>
      <c r="D161" s="106"/>
      <c r="E161" s="106"/>
      <c r="F161" s="106"/>
      <c r="G161" s="106"/>
      <c r="H161" s="106"/>
    </row>
    <row r="162" spans="1:8" x14ac:dyDescent="0.3">
      <c r="A162" s="106" t="s">
        <v>334</v>
      </c>
      <c r="B162" s="106"/>
      <c r="C162" s="106"/>
      <c r="D162" s="106"/>
      <c r="E162" s="106"/>
      <c r="F162" s="106"/>
      <c r="G162" s="106"/>
      <c r="H162" s="106"/>
    </row>
    <row r="163" spans="1:8" x14ac:dyDescent="0.3">
      <c r="A163" s="106" t="s">
        <v>335</v>
      </c>
      <c r="B163" s="106"/>
      <c r="C163" s="106"/>
      <c r="D163" s="106"/>
      <c r="E163" s="106"/>
      <c r="F163" s="106"/>
      <c r="G163" s="106"/>
      <c r="H163" s="106"/>
    </row>
    <row r="164" spans="1:8" x14ac:dyDescent="0.3">
      <c r="A164" s="106" t="s">
        <v>323</v>
      </c>
      <c r="B164" s="106"/>
      <c r="C164" s="106"/>
      <c r="D164" s="106"/>
      <c r="E164" s="106"/>
      <c r="F164" s="106"/>
      <c r="G164" s="106"/>
      <c r="H164" s="106"/>
    </row>
    <row r="165" spans="1:8" x14ac:dyDescent="0.3">
      <c r="A165" s="106" t="s">
        <v>213</v>
      </c>
      <c r="B165" s="106"/>
      <c r="C165" s="106"/>
      <c r="D165" s="106"/>
      <c r="E165" s="106"/>
      <c r="F165" s="106"/>
      <c r="G165" s="106"/>
      <c r="H165" s="106"/>
    </row>
    <row r="166" spans="1:8" x14ac:dyDescent="0.3">
      <c r="A166" s="106" t="s">
        <v>336</v>
      </c>
      <c r="B166" s="106"/>
      <c r="C166" s="106"/>
      <c r="D166" s="106"/>
      <c r="E166" s="106"/>
      <c r="F166" s="106"/>
      <c r="G166" s="106"/>
      <c r="H166" s="106"/>
    </row>
    <row r="167" spans="1:8" x14ac:dyDescent="0.3">
      <c r="A167" s="106" t="s">
        <v>337</v>
      </c>
      <c r="B167" s="106"/>
      <c r="C167" s="106"/>
      <c r="D167" s="106"/>
      <c r="E167" s="106"/>
      <c r="F167" s="106"/>
      <c r="G167" s="106"/>
      <c r="H167" s="106"/>
    </row>
    <row r="168" spans="1:8" x14ac:dyDescent="0.3">
      <c r="A168" s="106" t="s">
        <v>338</v>
      </c>
      <c r="B168" s="106"/>
      <c r="C168" s="106"/>
      <c r="D168" s="106"/>
      <c r="E168" s="106"/>
      <c r="F168" s="106"/>
      <c r="G168" s="106"/>
      <c r="H168" s="106"/>
    </row>
    <row r="169" spans="1:8" x14ac:dyDescent="0.3">
      <c r="A169" s="106" t="s">
        <v>339</v>
      </c>
      <c r="B169" s="106"/>
      <c r="C169" s="106"/>
      <c r="D169" s="106"/>
      <c r="E169" s="106"/>
      <c r="F169" s="106"/>
      <c r="G169" s="106"/>
      <c r="H169" s="106"/>
    </row>
    <row r="170" spans="1:8" x14ac:dyDescent="0.3">
      <c r="A170" s="106" t="s">
        <v>340</v>
      </c>
      <c r="B170" s="106"/>
      <c r="C170" s="106"/>
      <c r="D170" s="106"/>
      <c r="E170" s="106"/>
      <c r="F170" s="106"/>
      <c r="G170" s="106"/>
      <c r="H170" s="106"/>
    </row>
    <row r="171" spans="1:8" x14ac:dyDescent="0.3">
      <c r="A171" s="106" t="s">
        <v>341</v>
      </c>
      <c r="B171" s="106"/>
      <c r="C171" s="106"/>
      <c r="D171" s="106"/>
      <c r="E171" s="106"/>
      <c r="F171" s="106"/>
      <c r="G171" s="106"/>
      <c r="H171" s="106"/>
    </row>
    <row r="172" spans="1:8" x14ac:dyDescent="0.3">
      <c r="A172" s="106" t="s">
        <v>342</v>
      </c>
      <c r="B172" s="106"/>
      <c r="C172" s="106"/>
      <c r="D172" s="106"/>
      <c r="E172" s="106"/>
      <c r="F172" s="106"/>
      <c r="G172" s="106"/>
      <c r="H172" s="106"/>
    </row>
    <row r="173" spans="1:8" x14ac:dyDescent="0.3">
      <c r="A173" s="106" t="s">
        <v>343</v>
      </c>
      <c r="B173" s="106"/>
      <c r="C173" s="106"/>
      <c r="D173" s="106"/>
      <c r="E173" s="106"/>
      <c r="F173" s="106"/>
      <c r="G173" s="106"/>
      <c r="H173" s="106"/>
    </row>
    <row r="174" spans="1:8" x14ac:dyDescent="0.3">
      <c r="A174" s="106" t="s">
        <v>213</v>
      </c>
      <c r="B174" s="106"/>
      <c r="C174" s="106"/>
      <c r="D174" s="106"/>
      <c r="E174" s="106"/>
      <c r="F174" s="106"/>
      <c r="G174" s="106"/>
      <c r="H174" s="106"/>
    </row>
    <row r="175" spans="1:8" x14ac:dyDescent="0.3">
      <c r="A175" s="106" t="s">
        <v>344</v>
      </c>
      <c r="B175" s="106"/>
      <c r="C175" s="106"/>
      <c r="D175" s="106"/>
      <c r="E175" s="106"/>
      <c r="F175" s="106"/>
      <c r="G175" s="106"/>
      <c r="H175" s="106"/>
    </row>
    <row r="176" spans="1:8" x14ac:dyDescent="0.3">
      <c r="A176" s="106" t="s">
        <v>337</v>
      </c>
      <c r="B176" s="106"/>
      <c r="C176" s="106"/>
      <c r="D176" s="106"/>
      <c r="E176" s="106"/>
      <c r="F176" s="106"/>
      <c r="G176" s="106"/>
      <c r="H176" s="106"/>
    </row>
    <row r="177" spans="1:8" x14ac:dyDescent="0.3">
      <c r="A177" s="106" t="s">
        <v>345</v>
      </c>
      <c r="B177" s="106"/>
      <c r="C177" s="106"/>
      <c r="D177" s="106"/>
      <c r="E177" s="106"/>
      <c r="F177" s="106"/>
      <c r="G177" s="106"/>
      <c r="H177" s="106"/>
    </row>
    <row r="178" spans="1:8" x14ac:dyDescent="0.3">
      <c r="A178" s="106" t="s">
        <v>339</v>
      </c>
      <c r="B178" s="106"/>
      <c r="C178" s="106"/>
      <c r="D178" s="106"/>
      <c r="E178" s="106"/>
      <c r="F178" s="106"/>
      <c r="G178" s="106"/>
      <c r="H178" s="106"/>
    </row>
    <row r="179" spans="1:8" x14ac:dyDescent="0.3">
      <c r="A179" s="106" t="s">
        <v>346</v>
      </c>
      <c r="B179" s="106"/>
      <c r="C179" s="106"/>
      <c r="D179" s="106"/>
      <c r="E179" s="106"/>
      <c r="F179" s="106"/>
      <c r="G179" s="106"/>
      <c r="H179" s="106"/>
    </row>
    <row r="180" spans="1:8" x14ac:dyDescent="0.3">
      <c r="A180" s="106" t="s">
        <v>347</v>
      </c>
      <c r="B180" s="106"/>
      <c r="C180" s="106"/>
      <c r="D180" s="106"/>
      <c r="E180" s="106"/>
      <c r="F180" s="106"/>
      <c r="G180" s="106"/>
      <c r="H180" s="106"/>
    </row>
    <row r="181" spans="1:8" x14ac:dyDescent="0.3">
      <c r="A181" s="106" t="s">
        <v>243</v>
      </c>
      <c r="B181" s="106"/>
      <c r="C181" s="106"/>
      <c r="D181" s="106"/>
      <c r="E181" s="106"/>
      <c r="F181" s="106"/>
      <c r="G181" s="106"/>
      <c r="H181" s="106"/>
    </row>
    <row r="182" spans="1:8" x14ac:dyDescent="0.3">
      <c r="A182" s="106" t="s">
        <v>341</v>
      </c>
      <c r="B182" s="106"/>
      <c r="C182" s="106"/>
      <c r="D182" s="106"/>
      <c r="E182" s="106"/>
      <c r="F182" s="106"/>
      <c r="G182" s="106"/>
      <c r="H182" s="106"/>
    </row>
    <row r="183" spans="1:8" x14ac:dyDescent="0.3">
      <c r="A183" s="106" t="s">
        <v>348</v>
      </c>
      <c r="B183" s="106"/>
      <c r="C183" s="106"/>
      <c r="D183" s="106"/>
      <c r="E183" s="106"/>
      <c r="F183" s="106"/>
      <c r="G183" s="106"/>
      <c r="H183" s="106"/>
    </row>
    <row r="184" spans="1:8" x14ac:dyDescent="0.3">
      <c r="A184" s="106" t="s">
        <v>343</v>
      </c>
      <c r="B184" s="106"/>
      <c r="C184" s="106"/>
      <c r="D184" s="106"/>
      <c r="E184" s="106"/>
      <c r="F184" s="106"/>
      <c r="G184" s="106"/>
      <c r="H184" s="106"/>
    </row>
    <row r="185" spans="1:8" x14ac:dyDescent="0.3">
      <c r="A185" s="106" t="s">
        <v>213</v>
      </c>
      <c r="B185" s="106"/>
      <c r="C185" s="106"/>
      <c r="D185" s="106"/>
      <c r="E185" s="106"/>
      <c r="F185" s="106"/>
      <c r="G185" s="106"/>
      <c r="H185" s="106"/>
    </row>
    <row r="186" spans="1:8" x14ac:dyDescent="0.3">
      <c r="A186" s="106" t="s">
        <v>349</v>
      </c>
      <c r="B186" s="106"/>
      <c r="C186" s="106"/>
      <c r="D186" s="106"/>
      <c r="E186" s="106"/>
      <c r="F186" s="106"/>
      <c r="G186" s="106"/>
      <c r="H186" s="106"/>
    </row>
    <row r="187" spans="1:8" x14ac:dyDescent="0.3">
      <c r="A187" s="106" t="s">
        <v>350</v>
      </c>
      <c r="B187" s="106"/>
      <c r="C187" s="106"/>
      <c r="D187" s="106"/>
      <c r="E187" s="106"/>
      <c r="F187" s="106"/>
      <c r="G187" s="106"/>
      <c r="H187" s="106"/>
    </row>
    <row r="188" spans="1:8" x14ac:dyDescent="0.3">
      <c r="A188" s="106" t="s">
        <v>351</v>
      </c>
      <c r="B188" s="106"/>
      <c r="C188" s="106"/>
      <c r="D188" s="106"/>
      <c r="E188" s="106"/>
      <c r="F188" s="106"/>
      <c r="G188" s="106"/>
      <c r="H188" s="106"/>
    </row>
    <row r="189" spans="1:8" x14ac:dyDescent="0.3">
      <c r="A189" s="106" t="s">
        <v>352</v>
      </c>
      <c r="B189" s="106"/>
      <c r="C189" s="106"/>
      <c r="D189" s="106"/>
      <c r="E189" s="106"/>
      <c r="F189" s="106"/>
      <c r="G189" s="106"/>
      <c r="H189" s="106"/>
    </row>
    <row r="190" spans="1:8" x14ac:dyDescent="0.3">
      <c r="A190" s="106" t="s">
        <v>353</v>
      </c>
      <c r="B190" s="106"/>
      <c r="C190" s="106"/>
      <c r="D190" s="106"/>
      <c r="E190" s="106"/>
      <c r="F190" s="106"/>
      <c r="G190" s="106"/>
      <c r="H190" s="106"/>
    </row>
    <row r="191" spans="1:8" x14ac:dyDescent="0.3">
      <c r="A191" s="106" t="s">
        <v>354</v>
      </c>
      <c r="B191" s="106"/>
      <c r="C191" s="106"/>
      <c r="D191" s="106"/>
      <c r="E191" s="106"/>
      <c r="F191" s="106"/>
      <c r="G191" s="106"/>
      <c r="H191" s="106"/>
    </row>
    <row r="192" spans="1:8" x14ac:dyDescent="0.3">
      <c r="A192" s="106" t="s">
        <v>355</v>
      </c>
      <c r="B192" s="106"/>
      <c r="C192" s="106"/>
      <c r="D192" s="106"/>
      <c r="E192" s="106"/>
      <c r="F192" s="106"/>
      <c r="G192" s="106"/>
      <c r="H192" s="106"/>
    </row>
    <row r="193" spans="1:8" x14ac:dyDescent="0.3">
      <c r="A193" s="106" t="s">
        <v>356</v>
      </c>
      <c r="B193" s="106"/>
      <c r="C193" s="106"/>
      <c r="D193" s="106"/>
      <c r="E193" s="106"/>
      <c r="F193" s="106"/>
      <c r="G193" s="106"/>
      <c r="H193" s="106"/>
    </row>
    <row r="194" spans="1:8" x14ac:dyDescent="0.3">
      <c r="A194" s="106" t="s">
        <v>357</v>
      </c>
      <c r="B194" s="106"/>
      <c r="C194" s="106"/>
      <c r="D194" s="106"/>
      <c r="E194" s="106"/>
      <c r="F194" s="106"/>
      <c r="G194" s="106"/>
      <c r="H194" s="106"/>
    </row>
    <row r="195" spans="1:8" x14ac:dyDescent="0.3">
      <c r="A195" s="106" t="s">
        <v>358</v>
      </c>
      <c r="B195" s="106"/>
      <c r="C195" s="106"/>
      <c r="D195" s="106"/>
      <c r="E195" s="106"/>
      <c r="F195" s="106"/>
      <c r="G195" s="106"/>
      <c r="H195" s="106"/>
    </row>
    <row r="196" spans="1:8" x14ac:dyDescent="0.3">
      <c r="A196" s="106" t="s">
        <v>359</v>
      </c>
      <c r="B196" s="106"/>
      <c r="C196" s="106"/>
      <c r="D196" s="106"/>
      <c r="E196" s="106"/>
      <c r="F196" s="106"/>
      <c r="G196" s="106"/>
      <c r="H196" s="106"/>
    </row>
    <row r="197" spans="1:8" x14ac:dyDescent="0.3">
      <c r="A197" s="106" t="s">
        <v>265</v>
      </c>
      <c r="B197" s="106"/>
      <c r="C197" s="106"/>
      <c r="D197" s="106"/>
      <c r="E197" s="106"/>
      <c r="F197" s="106"/>
      <c r="G197" s="106"/>
      <c r="H197" s="106"/>
    </row>
    <row r="198" spans="1:8" x14ac:dyDescent="0.3">
      <c r="A198" s="106" t="s">
        <v>360</v>
      </c>
      <c r="B198" s="106"/>
      <c r="C198" s="106"/>
      <c r="D198" s="106"/>
      <c r="E198" s="106"/>
      <c r="F198" s="106"/>
      <c r="G198" s="106"/>
      <c r="H198" s="106"/>
    </row>
    <row r="199" spans="1:8" x14ac:dyDescent="0.3">
      <c r="A199" s="106" t="s">
        <v>323</v>
      </c>
      <c r="B199" s="106"/>
      <c r="C199" s="106"/>
      <c r="D199" s="106"/>
      <c r="E199" s="106"/>
      <c r="F199" s="106"/>
      <c r="G199" s="106"/>
      <c r="H199" s="106"/>
    </row>
    <row r="200" spans="1:8" x14ac:dyDescent="0.3">
      <c r="A200" s="106" t="s">
        <v>213</v>
      </c>
      <c r="B200" s="106"/>
      <c r="C200" s="106"/>
      <c r="D200" s="106"/>
      <c r="E200" s="106"/>
      <c r="F200" s="106"/>
      <c r="G200" s="106"/>
      <c r="H200" s="106"/>
    </row>
    <row r="201" spans="1:8" x14ac:dyDescent="0.3">
      <c r="A201" s="106" t="s">
        <v>361</v>
      </c>
      <c r="B201" s="106"/>
      <c r="C201" s="106"/>
      <c r="D201" s="106"/>
      <c r="E201" s="106"/>
      <c r="F201" s="106"/>
      <c r="G201" s="106"/>
      <c r="H201" s="106"/>
    </row>
    <row r="202" spans="1:8" x14ac:dyDescent="0.3">
      <c r="A202" s="106" t="s">
        <v>362</v>
      </c>
      <c r="B202" s="106"/>
      <c r="C202" s="106"/>
      <c r="D202" s="106"/>
      <c r="E202" s="106"/>
      <c r="F202" s="106"/>
      <c r="G202" s="106"/>
      <c r="H202" s="106"/>
    </row>
    <row r="203" spans="1:8" x14ac:dyDescent="0.3">
      <c r="A203" s="106" t="s">
        <v>363</v>
      </c>
      <c r="B203" s="106"/>
      <c r="C203" s="106"/>
      <c r="D203" s="106"/>
      <c r="E203" s="106"/>
      <c r="F203" s="106"/>
      <c r="G203" s="106"/>
      <c r="H203" s="106"/>
    </row>
    <row r="204" spans="1:8" x14ac:dyDescent="0.3">
      <c r="A204" s="106" t="s">
        <v>364</v>
      </c>
      <c r="B204" s="106"/>
      <c r="C204" s="106"/>
      <c r="D204" s="106"/>
      <c r="E204" s="106"/>
      <c r="F204" s="106"/>
      <c r="G204" s="106"/>
      <c r="H204" s="106"/>
    </row>
    <row r="205" spans="1:8" x14ac:dyDescent="0.3">
      <c r="A205" s="106" t="s">
        <v>365</v>
      </c>
      <c r="B205" s="106"/>
      <c r="C205" s="106"/>
      <c r="D205" s="106"/>
      <c r="E205" s="106"/>
      <c r="F205" s="106"/>
      <c r="G205" s="106"/>
      <c r="H205" s="106"/>
    </row>
    <row r="206" spans="1:8" x14ac:dyDescent="0.3">
      <c r="A206" s="106" t="s">
        <v>366</v>
      </c>
      <c r="B206" s="106"/>
      <c r="C206" s="106"/>
      <c r="D206" s="106"/>
      <c r="E206" s="106"/>
      <c r="F206" s="106"/>
      <c r="G206" s="106"/>
      <c r="H206" s="106"/>
    </row>
    <row r="207" spans="1:8" x14ac:dyDescent="0.3">
      <c r="A207" s="106" t="s">
        <v>343</v>
      </c>
      <c r="B207" s="106"/>
      <c r="C207" s="106"/>
      <c r="D207" s="106"/>
      <c r="E207" s="106"/>
      <c r="F207" s="106"/>
      <c r="G207" s="106"/>
      <c r="H207" s="106"/>
    </row>
    <row r="208" spans="1:8" x14ac:dyDescent="0.3">
      <c r="A208" s="106" t="s">
        <v>213</v>
      </c>
      <c r="B208" s="106"/>
      <c r="C208" s="106"/>
      <c r="D208" s="106"/>
      <c r="E208" s="106"/>
      <c r="F208" s="106"/>
      <c r="G208" s="106"/>
      <c r="H208" s="106"/>
    </row>
    <row r="209" spans="1:8" x14ac:dyDescent="0.3">
      <c r="A209" s="106" t="s">
        <v>367</v>
      </c>
      <c r="B209" s="106"/>
      <c r="C209" s="106"/>
      <c r="D209" s="106"/>
      <c r="E209" s="106"/>
      <c r="F209" s="106"/>
      <c r="G209" s="106"/>
      <c r="H209" s="106"/>
    </row>
    <row r="210" spans="1:8" x14ac:dyDescent="0.3">
      <c r="A210" s="106" t="s">
        <v>368</v>
      </c>
      <c r="B210" s="106"/>
      <c r="C210" s="106"/>
      <c r="D210" s="106"/>
      <c r="E210" s="106"/>
      <c r="F210" s="106"/>
      <c r="G210" s="106"/>
      <c r="H210" s="106"/>
    </row>
    <row r="211" spans="1:8" x14ac:dyDescent="0.3">
      <c r="A211" s="106" t="s">
        <v>369</v>
      </c>
      <c r="B211" s="106"/>
      <c r="C211" s="106"/>
      <c r="D211" s="106"/>
      <c r="E211" s="106"/>
      <c r="F211" s="106"/>
      <c r="G211" s="106"/>
      <c r="H211" s="106"/>
    </row>
    <row r="212" spans="1:8" x14ac:dyDescent="0.3">
      <c r="A212" s="106" t="s">
        <v>370</v>
      </c>
      <c r="B212" s="106"/>
      <c r="C212" s="106"/>
      <c r="D212" s="106"/>
      <c r="E212" s="106"/>
      <c r="F212" s="106"/>
      <c r="G212" s="106"/>
      <c r="H212" s="106"/>
    </row>
    <row r="213" spans="1:8" x14ac:dyDescent="0.3">
      <c r="A213" s="106" t="s">
        <v>371</v>
      </c>
      <c r="B213" s="106"/>
      <c r="C213" s="106"/>
      <c r="D213" s="106"/>
      <c r="E213" s="106"/>
      <c r="F213" s="106"/>
      <c r="G213" s="106"/>
      <c r="H213" s="106"/>
    </row>
    <row r="214" spans="1:8" x14ac:dyDescent="0.3">
      <c r="A214" s="106" t="s">
        <v>372</v>
      </c>
      <c r="B214" s="106"/>
      <c r="C214" s="106"/>
      <c r="D214" s="106"/>
      <c r="E214" s="106"/>
      <c r="F214" s="106"/>
      <c r="G214" s="106"/>
      <c r="H214" s="106"/>
    </row>
    <row r="215" spans="1:8" x14ac:dyDescent="0.3">
      <c r="A215" s="106" t="s">
        <v>373</v>
      </c>
      <c r="B215" s="106"/>
      <c r="C215" s="106"/>
      <c r="D215" s="106"/>
      <c r="E215" s="106"/>
      <c r="F215" s="106"/>
      <c r="G215" s="106"/>
      <c r="H215" s="106"/>
    </row>
    <row r="216" spans="1:8" x14ac:dyDescent="0.3">
      <c r="A216" s="106" t="s">
        <v>374</v>
      </c>
      <c r="B216" s="106"/>
      <c r="C216" s="106"/>
      <c r="D216" s="106"/>
      <c r="E216" s="106"/>
      <c r="F216" s="106"/>
      <c r="G216" s="106"/>
      <c r="H216" s="106"/>
    </row>
    <row r="217" spans="1:8" x14ac:dyDescent="0.3">
      <c r="A217" s="106" t="s">
        <v>375</v>
      </c>
      <c r="B217" s="106"/>
      <c r="C217" s="106"/>
      <c r="D217" s="106"/>
      <c r="E217" s="106"/>
      <c r="F217" s="106"/>
      <c r="G217" s="106"/>
      <c r="H217" s="106"/>
    </row>
    <row r="218" spans="1:8" x14ac:dyDescent="0.3">
      <c r="A218" s="106" t="s">
        <v>254</v>
      </c>
      <c r="B218" s="106"/>
      <c r="C218" s="106"/>
      <c r="D218" s="106"/>
      <c r="E218" s="106"/>
      <c r="F218" s="106"/>
      <c r="G218" s="106"/>
      <c r="H218" s="106"/>
    </row>
    <row r="219" spans="1:8" x14ac:dyDescent="0.3">
      <c r="A219" s="106" t="s">
        <v>376</v>
      </c>
      <c r="B219" s="106"/>
      <c r="C219" s="106"/>
      <c r="D219" s="106"/>
      <c r="E219" s="106"/>
      <c r="F219" s="106"/>
      <c r="G219" s="106"/>
      <c r="H219" s="106"/>
    </row>
    <row r="220" spans="1:8" x14ac:dyDescent="0.3">
      <c r="A220" s="106" t="s">
        <v>343</v>
      </c>
      <c r="B220" s="106"/>
      <c r="C220" s="106"/>
      <c r="D220" s="106"/>
      <c r="E220" s="106"/>
      <c r="F220" s="106"/>
      <c r="G220" s="106"/>
      <c r="H220" s="106"/>
    </row>
    <row r="221" spans="1:8" x14ac:dyDescent="0.3">
      <c r="A221" s="106" t="s">
        <v>213</v>
      </c>
      <c r="B221" s="106"/>
      <c r="C221" s="106"/>
      <c r="D221" s="106"/>
      <c r="E221" s="106"/>
      <c r="F221" s="106"/>
      <c r="G221" s="106"/>
      <c r="H221" s="106"/>
    </row>
    <row r="222" spans="1:8" x14ac:dyDescent="0.3">
      <c r="A222" s="106" t="s">
        <v>377</v>
      </c>
      <c r="B222" s="106"/>
      <c r="C222" s="106"/>
      <c r="D222" s="106"/>
      <c r="E222" s="106"/>
      <c r="F222" s="106"/>
      <c r="G222" s="106"/>
      <c r="H222" s="106"/>
    </row>
    <row r="223" spans="1:8" x14ac:dyDescent="0.3">
      <c r="A223" s="106" t="s">
        <v>378</v>
      </c>
      <c r="B223" s="106"/>
      <c r="C223" s="106"/>
      <c r="D223" s="106"/>
      <c r="E223" s="106"/>
      <c r="F223" s="106"/>
      <c r="G223" s="106"/>
      <c r="H223" s="106"/>
    </row>
    <row r="224" spans="1:8" x14ac:dyDescent="0.3">
      <c r="A224" s="106" t="s">
        <v>379</v>
      </c>
      <c r="B224" s="106"/>
      <c r="C224" s="106"/>
      <c r="D224" s="106"/>
      <c r="E224" s="106"/>
      <c r="F224" s="106"/>
      <c r="G224" s="106"/>
      <c r="H224" s="106"/>
    </row>
    <row r="225" spans="1:8" x14ac:dyDescent="0.3">
      <c r="A225" s="106" t="s">
        <v>380</v>
      </c>
      <c r="B225" s="106"/>
      <c r="C225" s="106"/>
      <c r="D225" s="106"/>
      <c r="E225" s="106"/>
      <c r="F225" s="106"/>
      <c r="G225" s="106"/>
      <c r="H225" s="106"/>
    </row>
    <row r="226" spans="1:8" x14ac:dyDescent="0.3">
      <c r="A226" s="106" t="s">
        <v>381</v>
      </c>
      <c r="B226" s="106"/>
      <c r="C226" s="106"/>
      <c r="D226" s="106"/>
      <c r="E226" s="106"/>
      <c r="F226" s="106"/>
      <c r="G226" s="106"/>
      <c r="H226" s="106"/>
    </row>
    <row r="227" spans="1:8" x14ac:dyDescent="0.3">
      <c r="A227" s="106" t="s">
        <v>382</v>
      </c>
      <c r="B227" s="106"/>
      <c r="C227" s="106"/>
      <c r="D227" s="106"/>
      <c r="E227" s="106"/>
      <c r="F227" s="106"/>
      <c r="G227" s="106"/>
      <c r="H227" s="106"/>
    </row>
    <row r="228" spans="1:8" x14ac:dyDescent="0.3">
      <c r="A228" s="106" t="s">
        <v>383</v>
      </c>
      <c r="B228" s="106"/>
      <c r="C228" s="106"/>
      <c r="D228" s="106"/>
      <c r="E228" s="106"/>
      <c r="F228" s="106"/>
      <c r="G228" s="106"/>
      <c r="H228" s="106"/>
    </row>
    <row r="229" spans="1:8" x14ac:dyDescent="0.3">
      <c r="A229" s="106" t="s">
        <v>384</v>
      </c>
      <c r="B229" s="106"/>
      <c r="C229" s="106"/>
      <c r="D229" s="106"/>
      <c r="E229" s="106"/>
      <c r="F229" s="106"/>
      <c r="G229" s="106"/>
      <c r="H229" s="106"/>
    </row>
    <row r="230" spans="1:8" x14ac:dyDescent="0.3">
      <c r="A230" s="106" t="s">
        <v>385</v>
      </c>
      <c r="B230" s="106"/>
      <c r="C230" s="106"/>
      <c r="D230" s="106"/>
      <c r="E230" s="106"/>
      <c r="F230" s="106"/>
      <c r="G230" s="106"/>
      <c r="H230" s="106"/>
    </row>
    <row r="231" spans="1:8" x14ac:dyDescent="0.3">
      <c r="A231" s="106" t="s">
        <v>386</v>
      </c>
      <c r="B231" s="106"/>
      <c r="C231" s="106"/>
      <c r="D231" s="106"/>
      <c r="E231" s="106"/>
      <c r="F231" s="106"/>
      <c r="G231" s="106"/>
      <c r="H231" s="106"/>
    </row>
    <row r="232" spans="1:8" x14ac:dyDescent="0.3">
      <c r="A232" s="106" t="s">
        <v>387</v>
      </c>
      <c r="B232" s="106"/>
      <c r="C232" s="106"/>
      <c r="D232" s="106"/>
      <c r="E232" s="106"/>
      <c r="F232" s="106"/>
      <c r="G232" s="106"/>
      <c r="H232" s="106"/>
    </row>
    <row r="233" spans="1:8" x14ac:dyDescent="0.3">
      <c r="A233" s="106" t="s">
        <v>388</v>
      </c>
      <c r="B233" s="106"/>
      <c r="C233" s="106"/>
      <c r="D233" s="106"/>
      <c r="E233" s="106"/>
      <c r="F233" s="106"/>
      <c r="G233" s="106"/>
      <c r="H233" s="106"/>
    </row>
    <row r="234" spans="1:8" x14ac:dyDescent="0.3">
      <c r="A234" s="106" t="s">
        <v>389</v>
      </c>
      <c r="B234" s="106"/>
      <c r="C234" s="106"/>
      <c r="D234" s="106"/>
      <c r="E234" s="106"/>
      <c r="F234" s="106"/>
      <c r="G234" s="106"/>
      <c r="H234" s="106"/>
    </row>
    <row r="235" spans="1:8" x14ac:dyDescent="0.3">
      <c r="A235" s="106" t="s">
        <v>243</v>
      </c>
      <c r="B235" s="106"/>
      <c r="C235" s="106"/>
      <c r="D235" s="106"/>
      <c r="E235" s="106"/>
      <c r="F235" s="106"/>
      <c r="G235" s="106"/>
      <c r="H235" s="106"/>
    </row>
    <row r="236" spans="1:8" x14ac:dyDescent="0.3">
      <c r="A236" s="106" t="s">
        <v>390</v>
      </c>
      <c r="B236" s="106"/>
      <c r="C236" s="106"/>
      <c r="D236" s="106"/>
      <c r="E236" s="106"/>
      <c r="F236" s="106"/>
      <c r="G236" s="106"/>
      <c r="H236" s="106"/>
    </row>
    <row r="237" spans="1:8" x14ac:dyDescent="0.3">
      <c r="A237" s="106" t="s">
        <v>323</v>
      </c>
      <c r="B237" s="106"/>
      <c r="C237" s="106"/>
      <c r="D237" s="106"/>
      <c r="E237" s="106"/>
      <c r="F237" s="106"/>
      <c r="G237" s="106"/>
      <c r="H237" s="106"/>
    </row>
    <row r="238" spans="1:8" x14ac:dyDescent="0.3">
      <c r="A238" s="106" t="s">
        <v>213</v>
      </c>
      <c r="B238" s="106"/>
      <c r="C238" s="106"/>
      <c r="D238" s="106"/>
      <c r="E238" s="106"/>
      <c r="F238" s="106"/>
      <c r="G238" s="106"/>
      <c r="H238" s="106"/>
    </row>
    <row r="239" spans="1:8" x14ac:dyDescent="0.3">
      <c r="A239" s="106" t="s">
        <v>391</v>
      </c>
      <c r="B239" s="106"/>
      <c r="C239" s="106"/>
      <c r="D239" s="106"/>
      <c r="E239" s="106"/>
      <c r="F239" s="106"/>
      <c r="G239" s="106"/>
      <c r="H239" s="106"/>
    </row>
    <row r="240" spans="1:8" x14ac:dyDescent="0.3">
      <c r="A240" s="106" t="s">
        <v>392</v>
      </c>
      <c r="B240" s="106"/>
      <c r="C240" s="106"/>
      <c r="D240" s="106"/>
      <c r="E240" s="106"/>
      <c r="F240" s="106"/>
      <c r="G240" s="106"/>
      <c r="H240" s="106"/>
    </row>
    <row r="241" spans="1:8" x14ac:dyDescent="0.3">
      <c r="A241" s="106" t="s">
        <v>337</v>
      </c>
      <c r="B241" s="106"/>
      <c r="C241" s="106"/>
      <c r="D241" s="106"/>
      <c r="E241" s="106"/>
      <c r="F241" s="106"/>
      <c r="G241" s="106"/>
      <c r="H241" s="106"/>
    </row>
    <row r="242" spans="1:8" x14ac:dyDescent="0.3">
      <c r="A242" s="106" t="s">
        <v>393</v>
      </c>
      <c r="B242" s="106"/>
      <c r="C242" s="106"/>
      <c r="D242" s="106"/>
      <c r="E242" s="106"/>
      <c r="F242" s="106"/>
      <c r="G242" s="106"/>
      <c r="H242" s="106"/>
    </row>
    <row r="243" spans="1:8" x14ac:dyDescent="0.3">
      <c r="A243" s="106" t="s">
        <v>339</v>
      </c>
      <c r="B243" s="106"/>
      <c r="C243" s="106"/>
      <c r="D243" s="106"/>
      <c r="E243" s="106"/>
      <c r="F243" s="106"/>
      <c r="G243" s="106"/>
      <c r="H243" s="106"/>
    </row>
    <row r="244" spans="1:8" x14ac:dyDescent="0.3">
      <c r="A244" s="106" t="s">
        <v>346</v>
      </c>
      <c r="B244" s="106"/>
      <c r="C244" s="106"/>
      <c r="D244" s="106"/>
      <c r="E244" s="106"/>
      <c r="F244" s="106"/>
      <c r="G244" s="106"/>
      <c r="H244" s="106"/>
    </row>
    <row r="245" spans="1:8" x14ac:dyDescent="0.3">
      <c r="A245" s="106" t="s">
        <v>394</v>
      </c>
      <c r="B245" s="106"/>
      <c r="C245" s="106"/>
      <c r="D245" s="106"/>
      <c r="E245" s="106"/>
      <c r="F245" s="106"/>
      <c r="G245" s="106"/>
      <c r="H245" s="106"/>
    </row>
    <row r="246" spans="1:8" x14ac:dyDescent="0.3">
      <c r="A246" s="106" t="s">
        <v>395</v>
      </c>
      <c r="B246" s="106"/>
      <c r="C246" s="106"/>
      <c r="D246" s="106"/>
      <c r="E246" s="106"/>
      <c r="F246" s="106"/>
      <c r="G246" s="106"/>
      <c r="H246" s="106"/>
    </row>
    <row r="247" spans="1:8" x14ac:dyDescent="0.3">
      <c r="A247" s="106" t="s">
        <v>396</v>
      </c>
      <c r="B247" s="106"/>
      <c r="C247" s="106"/>
      <c r="D247" s="106"/>
      <c r="E247" s="106"/>
      <c r="F247" s="106"/>
      <c r="G247" s="106"/>
      <c r="H247" s="106"/>
    </row>
    <row r="248" spans="1:8" x14ac:dyDescent="0.3">
      <c r="A248" s="106" t="s">
        <v>397</v>
      </c>
      <c r="B248" s="106"/>
      <c r="C248" s="106"/>
      <c r="D248" s="106"/>
      <c r="E248" s="106"/>
      <c r="F248" s="106"/>
      <c r="G248" s="106"/>
      <c r="H248" s="106"/>
    </row>
    <row r="249" spans="1:8" x14ac:dyDescent="0.3">
      <c r="A249" s="106" t="s">
        <v>243</v>
      </c>
      <c r="B249" s="106"/>
      <c r="C249" s="106"/>
      <c r="D249" s="106"/>
      <c r="E249" s="106"/>
      <c r="F249" s="106"/>
      <c r="G249" s="106"/>
      <c r="H249" s="106"/>
    </row>
    <row r="250" spans="1:8" x14ac:dyDescent="0.3">
      <c r="A250" s="106" t="s">
        <v>341</v>
      </c>
      <c r="B250" s="106"/>
      <c r="C250" s="106"/>
      <c r="D250" s="106"/>
      <c r="E250" s="106"/>
      <c r="F250" s="106"/>
      <c r="G250" s="106"/>
      <c r="H250" s="106"/>
    </row>
    <row r="251" spans="1:8" x14ac:dyDescent="0.3">
      <c r="A251" s="106" t="s">
        <v>398</v>
      </c>
      <c r="B251" s="106"/>
      <c r="C251" s="106"/>
      <c r="D251" s="106"/>
      <c r="E251" s="106"/>
      <c r="F251" s="106"/>
      <c r="G251" s="106"/>
      <c r="H251" s="106"/>
    </row>
    <row r="252" spans="1:8" x14ac:dyDescent="0.3">
      <c r="A252" s="106" t="s">
        <v>399</v>
      </c>
      <c r="B252" s="106"/>
      <c r="C252" s="106"/>
      <c r="D252" s="106"/>
      <c r="E252" s="106"/>
      <c r="F252" s="106"/>
      <c r="G252" s="106"/>
      <c r="H252" s="106"/>
    </row>
    <row r="253" spans="1:8" x14ac:dyDescent="0.3">
      <c r="A253" s="106" t="s">
        <v>254</v>
      </c>
      <c r="B253" s="106"/>
      <c r="C253" s="106"/>
      <c r="D253" s="106"/>
      <c r="E253" s="106"/>
      <c r="F253" s="106"/>
      <c r="G253" s="106"/>
      <c r="H253" s="106"/>
    </row>
    <row r="254" spans="1:8" x14ac:dyDescent="0.3">
      <c r="A254" s="106" t="s">
        <v>400</v>
      </c>
      <c r="B254" s="106"/>
      <c r="C254" s="106"/>
      <c r="D254" s="106"/>
      <c r="E254" s="106"/>
      <c r="F254" s="106"/>
      <c r="G254" s="106"/>
      <c r="H254" s="106"/>
    </row>
    <row r="255" spans="1:8" x14ac:dyDescent="0.3">
      <c r="A255" s="106" t="s">
        <v>343</v>
      </c>
      <c r="B255" s="106"/>
      <c r="C255" s="106"/>
      <c r="D255" s="106"/>
      <c r="E255" s="106"/>
      <c r="F255" s="106"/>
      <c r="G255" s="106"/>
      <c r="H255" s="106"/>
    </row>
    <row r="256" spans="1:8" x14ac:dyDescent="0.3">
      <c r="A256" s="106" t="s">
        <v>213</v>
      </c>
      <c r="B256" s="106"/>
      <c r="C256" s="106"/>
      <c r="D256" s="106"/>
      <c r="E256" s="106"/>
      <c r="F256" s="106"/>
      <c r="G256" s="106"/>
      <c r="H256" s="106"/>
    </row>
    <row r="257" spans="1:8" x14ac:dyDescent="0.3">
      <c r="A257" s="106" t="s">
        <v>401</v>
      </c>
      <c r="B257" s="106"/>
      <c r="C257" s="106"/>
      <c r="D257" s="106"/>
      <c r="E257" s="106"/>
      <c r="F257" s="106"/>
      <c r="G257" s="106"/>
      <c r="H257" s="106"/>
    </row>
    <row r="258" spans="1:8" x14ac:dyDescent="0.3">
      <c r="A258" s="106" t="s">
        <v>337</v>
      </c>
      <c r="B258" s="106"/>
      <c r="C258" s="106"/>
      <c r="D258" s="106"/>
      <c r="E258" s="106"/>
      <c r="F258" s="106"/>
      <c r="G258" s="106"/>
      <c r="H258" s="106"/>
    </row>
    <row r="259" spans="1:8" x14ac:dyDescent="0.3">
      <c r="A259" s="106" t="s">
        <v>393</v>
      </c>
      <c r="B259" s="106"/>
      <c r="C259" s="106"/>
      <c r="D259" s="106"/>
      <c r="E259" s="106"/>
      <c r="F259" s="106"/>
      <c r="G259" s="106"/>
      <c r="H259" s="106"/>
    </row>
    <row r="260" spans="1:8" x14ac:dyDescent="0.3">
      <c r="A260" s="106" t="s">
        <v>339</v>
      </c>
      <c r="B260" s="106"/>
      <c r="C260" s="106"/>
      <c r="D260" s="106"/>
      <c r="E260" s="106"/>
      <c r="F260" s="106"/>
      <c r="G260" s="106"/>
      <c r="H260" s="106"/>
    </row>
    <row r="261" spans="1:8" x14ac:dyDescent="0.3">
      <c r="A261" s="106" t="s">
        <v>346</v>
      </c>
      <c r="B261" s="106"/>
      <c r="C261" s="106"/>
      <c r="D261" s="106"/>
      <c r="E261" s="106"/>
      <c r="F261" s="106"/>
      <c r="G261" s="106"/>
      <c r="H261" s="106"/>
    </row>
    <row r="262" spans="1:8" x14ac:dyDescent="0.3">
      <c r="A262" s="106" t="s">
        <v>394</v>
      </c>
      <c r="B262" s="106"/>
      <c r="C262" s="106"/>
      <c r="D262" s="106"/>
      <c r="E262" s="106"/>
      <c r="F262" s="106"/>
      <c r="G262" s="106"/>
      <c r="H262" s="106"/>
    </row>
    <row r="263" spans="1:8" x14ac:dyDescent="0.3">
      <c r="A263" s="106" t="s">
        <v>395</v>
      </c>
      <c r="B263" s="106"/>
      <c r="C263" s="106"/>
      <c r="D263" s="106"/>
      <c r="E263" s="106"/>
      <c r="F263" s="106"/>
      <c r="G263" s="106"/>
      <c r="H263" s="106"/>
    </row>
    <row r="264" spans="1:8" x14ac:dyDescent="0.3">
      <c r="A264" s="106" t="s">
        <v>402</v>
      </c>
      <c r="B264" s="106"/>
      <c r="C264" s="106"/>
      <c r="D264" s="106"/>
      <c r="E264" s="106"/>
      <c r="F264" s="106"/>
      <c r="G264" s="106"/>
      <c r="H264" s="106"/>
    </row>
    <row r="265" spans="1:8" x14ac:dyDescent="0.3">
      <c r="A265" s="106" t="s">
        <v>397</v>
      </c>
      <c r="B265" s="106"/>
      <c r="C265" s="106"/>
      <c r="D265" s="106"/>
      <c r="E265" s="106"/>
      <c r="F265" s="106"/>
      <c r="G265" s="106"/>
      <c r="H265" s="106"/>
    </row>
    <row r="266" spans="1:8" x14ac:dyDescent="0.3">
      <c r="A266" s="106" t="s">
        <v>243</v>
      </c>
      <c r="B266" s="106"/>
      <c r="C266" s="106"/>
      <c r="D266" s="106"/>
      <c r="E266" s="106"/>
      <c r="F266" s="106"/>
      <c r="G266" s="106"/>
      <c r="H266" s="106"/>
    </row>
    <row r="267" spans="1:8" x14ac:dyDescent="0.3">
      <c r="A267" s="106" t="s">
        <v>341</v>
      </c>
      <c r="B267" s="106"/>
      <c r="C267" s="106"/>
      <c r="D267" s="106"/>
      <c r="E267" s="106"/>
      <c r="F267" s="106"/>
      <c r="G267" s="106"/>
      <c r="H267" s="106"/>
    </row>
    <row r="268" spans="1:8" x14ac:dyDescent="0.3">
      <c r="A268" s="106" t="s">
        <v>323</v>
      </c>
      <c r="B268" s="106"/>
      <c r="C268" s="106"/>
      <c r="D268" s="106"/>
      <c r="E268" s="106"/>
      <c r="F268" s="106"/>
      <c r="G268" s="106"/>
      <c r="H268" s="106"/>
    </row>
    <row r="269" spans="1:8" x14ac:dyDescent="0.3">
      <c r="A269" s="106" t="s">
        <v>213</v>
      </c>
      <c r="B269" s="106"/>
      <c r="C269" s="106"/>
      <c r="D269" s="106"/>
      <c r="E269" s="106"/>
      <c r="F269" s="106"/>
      <c r="G269" s="106"/>
      <c r="H269" s="106"/>
    </row>
    <row r="270" spans="1:8" x14ac:dyDescent="0.3">
      <c r="A270" s="106" t="s">
        <v>403</v>
      </c>
      <c r="B270" s="106"/>
      <c r="C270" s="106"/>
      <c r="D270" s="106"/>
      <c r="E270" s="106"/>
      <c r="F270" s="106"/>
      <c r="G270" s="106"/>
      <c r="H270" s="106"/>
    </row>
    <row r="271" spans="1:8" x14ac:dyDescent="0.3">
      <c r="A271" s="106" t="s">
        <v>215</v>
      </c>
      <c r="B271" s="106"/>
      <c r="C271" s="106"/>
      <c r="D271" s="106"/>
      <c r="E271" s="106"/>
      <c r="F271" s="106"/>
      <c r="G271" s="106"/>
      <c r="H271" s="106"/>
    </row>
    <row r="272" spans="1:8" x14ac:dyDescent="0.3">
      <c r="A272" s="106" t="s">
        <v>404</v>
      </c>
      <c r="B272" s="106"/>
      <c r="C272" s="106"/>
      <c r="D272" s="106"/>
      <c r="E272" s="106"/>
      <c r="F272" s="106"/>
      <c r="G272" s="106"/>
      <c r="H272" s="106"/>
    </row>
    <row r="273" spans="1:8" x14ac:dyDescent="0.3">
      <c r="A273" s="106" t="s">
        <v>274</v>
      </c>
      <c r="B273" s="106"/>
      <c r="C273" s="106"/>
      <c r="D273" s="106"/>
      <c r="E273" s="106"/>
      <c r="F273" s="106"/>
      <c r="G273" s="106"/>
      <c r="H273" s="106"/>
    </row>
    <row r="274" spans="1:8" x14ac:dyDescent="0.3">
      <c r="A274" s="106" t="s">
        <v>405</v>
      </c>
      <c r="B274" s="106"/>
      <c r="C274" s="106"/>
      <c r="D274" s="106"/>
      <c r="E274" s="106"/>
      <c r="F274" s="106"/>
      <c r="G274" s="106"/>
      <c r="H274" s="106"/>
    </row>
    <row r="275" spans="1:8" x14ac:dyDescent="0.3">
      <c r="A275" s="106" t="s">
        <v>244</v>
      </c>
      <c r="B275" s="106"/>
      <c r="C275" s="106"/>
      <c r="D275" s="106"/>
      <c r="E275" s="106"/>
      <c r="F275" s="106"/>
      <c r="G275" s="106"/>
      <c r="H275" s="106"/>
    </row>
    <row r="276" spans="1:8" x14ac:dyDescent="0.3">
      <c r="A276" s="106" t="s">
        <v>323</v>
      </c>
      <c r="B276" s="106"/>
      <c r="C276" s="106"/>
      <c r="D276" s="106"/>
      <c r="E276" s="106"/>
      <c r="F276" s="106"/>
      <c r="G276" s="106"/>
      <c r="H276" s="106"/>
    </row>
    <row r="277" spans="1:8" x14ac:dyDescent="0.3">
      <c r="A277" s="106" t="s">
        <v>213</v>
      </c>
      <c r="B277" s="106"/>
      <c r="C277" s="106"/>
      <c r="D277" s="106"/>
      <c r="E277" s="106"/>
      <c r="F277" s="106"/>
      <c r="G277" s="106"/>
      <c r="H277" s="106"/>
    </row>
    <row r="278" spans="1:8" x14ac:dyDescent="0.3">
      <c r="A278" s="106" t="s">
        <v>406</v>
      </c>
      <c r="B278" s="106"/>
      <c r="C278" s="106"/>
      <c r="D278" s="106"/>
      <c r="E278" s="106"/>
      <c r="F278" s="106"/>
      <c r="G278" s="106"/>
      <c r="H278" s="106"/>
    </row>
    <row r="279" spans="1:8" x14ac:dyDescent="0.3">
      <c r="A279" s="106" t="s">
        <v>215</v>
      </c>
      <c r="B279" s="106"/>
      <c r="C279" s="106"/>
      <c r="D279" s="106"/>
      <c r="E279" s="106"/>
      <c r="F279" s="106"/>
      <c r="G279" s="106"/>
      <c r="H279" s="106"/>
    </row>
    <row r="280" spans="1:8" x14ac:dyDescent="0.3">
      <c r="A280" s="106" t="s">
        <v>407</v>
      </c>
      <c r="B280" s="106"/>
      <c r="C280" s="106"/>
      <c r="D280" s="106"/>
      <c r="E280" s="106"/>
      <c r="F280" s="106"/>
      <c r="G280" s="106"/>
      <c r="H280" s="106"/>
    </row>
    <row r="281" spans="1:8" x14ac:dyDescent="0.3">
      <c r="A281" s="106" t="s">
        <v>404</v>
      </c>
      <c r="B281" s="106"/>
      <c r="C281" s="106"/>
      <c r="D281" s="106"/>
      <c r="E281" s="106"/>
      <c r="F281" s="106"/>
      <c r="G281" s="106"/>
      <c r="H281" s="106"/>
    </row>
    <row r="282" spans="1:8" x14ac:dyDescent="0.3">
      <c r="A282" s="106" t="s">
        <v>274</v>
      </c>
      <c r="B282" s="106"/>
      <c r="C282" s="106"/>
      <c r="D282" s="106"/>
      <c r="E282" s="106"/>
      <c r="F282" s="106"/>
      <c r="G282" s="106"/>
      <c r="H282" s="106"/>
    </row>
    <row r="283" spans="1:8" x14ac:dyDescent="0.3">
      <c r="A283" s="106" t="s">
        <v>405</v>
      </c>
      <c r="B283" s="106"/>
      <c r="C283" s="106"/>
      <c r="D283" s="106"/>
      <c r="E283" s="106"/>
      <c r="F283" s="106"/>
      <c r="G283" s="106"/>
      <c r="H283" s="106"/>
    </row>
    <row r="284" spans="1:8" x14ac:dyDescent="0.3">
      <c r="A284" s="106" t="s">
        <v>244</v>
      </c>
      <c r="B284" s="106"/>
      <c r="C284" s="106"/>
      <c r="D284" s="106"/>
      <c r="E284" s="106"/>
      <c r="F284" s="106"/>
      <c r="G284" s="106"/>
      <c r="H284" s="106"/>
    </row>
    <row r="285" spans="1:8" x14ac:dyDescent="0.3">
      <c r="A285" s="106" t="s">
        <v>408</v>
      </c>
      <c r="B285" s="106"/>
      <c r="C285" s="106"/>
      <c r="D285" s="106"/>
      <c r="E285" s="106"/>
      <c r="F285" s="106"/>
      <c r="G285" s="106"/>
      <c r="H285" s="106"/>
    </row>
    <row r="286" spans="1:8" x14ac:dyDescent="0.3">
      <c r="A286" s="106" t="s">
        <v>409</v>
      </c>
      <c r="B286" s="106"/>
      <c r="C286" s="106"/>
      <c r="D286" s="106"/>
      <c r="E286" s="106"/>
      <c r="F286" s="106"/>
      <c r="G286" s="106"/>
      <c r="H286" s="106"/>
    </row>
    <row r="287" spans="1:8" x14ac:dyDescent="0.3">
      <c r="A287" s="106" t="s">
        <v>410</v>
      </c>
      <c r="B287" s="106"/>
      <c r="C287" s="106"/>
      <c r="D287" s="106"/>
      <c r="E287" s="106"/>
      <c r="F287" s="106"/>
      <c r="G287" s="106"/>
      <c r="H287" s="106"/>
    </row>
    <row r="288" spans="1:8" x14ac:dyDescent="0.3">
      <c r="A288" s="106" t="s">
        <v>244</v>
      </c>
      <c r="B288" s="106"/>
      <c r="C288" s="106"/>
      <c r="D288" s="106"/>
      <c r="E288" s="106"/>
      <c r="F288" s="106"/>
      <c r="G288" s="106"/>
      <c r="H288" s="106"/>
    </row>
    <row r="289" spans="1:8" x14ac:dyDescent="0.3">
      <c r="A289" s="106" t="s">
        <v>411</v>
      </c>
      <c r="B289" s="106"/>
      <c r="C289" s="106"/>
      <c r="D289" s="106"/>
      <c r="E289" s="106"/>
      <c r="F289" s="106"/>
      <c r="G289" s="106"/>
      <c r="H289" s="106"/>
    </row>
    <row r="290" spans="1:8" x14ac:dyDescent="0.3">
      <c r="A290" s="106" t="s">
        <v>323</v>
      </c>
      <c r="B290" s="106"/>
      <c r="C290" s="106"/>
      <c r="D290" s="106"/>
      <c r="E290" s="106"/>
      <c r="F290" s="106"/>
      <c r="G290" s="106"/>
      <c r="H290" s="106"/>
    </row>
    <row r="291" spans="1:8" x14ac:dyDescent="0.3">
      <c r="A291" s="106" t="s">
        <v>213</v>
      </c>
      <c r="B291" s="106"/>
      <c r="C291" s="106"/>
      <c r="D291" s="106"/>
      <c r="E291" s="106"/>
      <c r="F291" s="106"/>
      <c r="G291" s="106"/>
      <c r="H291" s="106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Planner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2026-06-17T01:27:55Z</dcterms:modified>
  <dc:language>en-US</dc:language>
</cp:coreProperties>
</file>