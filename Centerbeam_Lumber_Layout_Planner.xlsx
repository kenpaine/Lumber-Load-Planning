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enth\Documents\Code\Lumber-Load-Planning\"/>
    </mc:Choice>
  </mc:AlternateContent>
  <xr:revisionPtr revIDLastSave="0" documentId="13_ncr:1_{06C71670-EF06-4868-8406-A70C2AC7B968}" xr6:coauthVersionLast="47" xr6:coauthVersionMax="47" xr10:uidLastSave="{00000000-0000-0000-0000-000000000000}"/>
  <bookViews>
    <workbookView xWindow="-51720" yWindow="-345" windowWidth="51840" windowHeight="21120" tabRatio="500" activeTab="2" xr2:uid="{00000000-000D-0000-FFFF-FFFF00000000}"/>
  </bookViews>
  <sheets>
    <sheet name="Planner" sheetId="1" r:id="rId1"/>
    <sheet name="Manifest" sheetId="2" r:id="rId2"/>
    <sheet name="How to Use" sheetId="5" r:id="rId3"/>
    <sheet name="Pattern Library" sheetId="3" r:id="rId4"/>
    <sheet name="Auto-Solve (VBA)" sheetId="4" r:id="rId5"/>
  </sheets>
  <definedNames>
    <definedName name="_xlnm.Print_Area" localSheetId="1">Manifest!$A$1:$L$73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" i="1" l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G35" i="2" s="1"/>
  <c r="D25" i="1"/>
  <c r="G36" i="2" s="1"/>
  <c r="D26" i="1"/>
  <c r="D27" i="1"/>
  <c r="D28" i="1"/>
  <c r="D29" i="1"/>
  <c r="B10" i="1"/>
  <c r="B11" i="1"/>
  <c r="B12" i="1"/>
  <c r="B13" i="1"/>
  <c r="B14" i="1"/>
  <c r="B15" i="1"/>
  <c r="B16" i="1"/>
  <c r="B17" i="1"/>
  <c r="B18" i="1"/>
  <c r="B19" i="1"/>
  <c r="F19" i="1" s="1"/>
  <c r="B20" i="1"/>
  <c r="H20" i="1" s="1"/>
  <c r="B21" i="1"/>
  <c r="I21" i="1" s="1"/>
  <c r="B22" i="1"/>
  <c r="B23" i="1"/>
  <c r="B24" i="1"/>
  <c r="I24" i="1" s="1"/>
  <c r="B25" i="1"/>
  <c r="I25" i="1" s="1"/>
  <c r="B26" i="1"/>
  <c r="B27" i="1"/>
  <c r="B28" i="1"/>
  <c r="B29" i="1"/>
  <c r="J28" i="2"/>
  <c r="I28" i="2"/>
  <c r="H28" i="2"/>
  <c r="G28" i="2"/>
  <c r="F28" i="2"/>
  <c r="E28" i="2"/>
  <c r="D28" i="2"/>
  <c r="C28" i="2"/>
  <c r="B28" i="2"/>
  <c r="J27" i="2"/>
  <c r="I27" i="2"/>
  <c r="H27" i="2"/>
  <c r="G27" i="2"/>
  <c r="F27" i="2"/>
  <c r="E27" i="2"/>
  <c r="D27" i="2"/>
  <c r="C27" i="2"/>
  <c r="B27" i="2"/>
  <c r="J26" i="2"/>
  <c r="I26" i="2"/>
  <c r="H26" i="2"/>
  <c r="G26" i="2"/>
  <c r="F26" i="2"/>
  <c r="E26" i="2"/>
  <c r="D26" i="2"/>
  <c r="C26" i="2"/>
  <c r="B26" i="2"/>
  <c r="J25" i="2"/>
  <c r="I25" i="2"/>
  <c r="H25" i="2"/>
  <c r="G25" i="2"/>
  <c r="F25" i="2"/>
  <c r="E25" i="2"/>
  <c r="D25" i="2"/>
  <c r="C25" i="2"/>
  <c r="B25" i="2"/>
  <c r="J24" i="2"/>
  <c r="I24" i="2"/>
  <c r="H24" i="2"/>
  <c r="G24" i="2"/>
  <c r="F24" i="2"/>
  <c r="E24" i="2"/>
  <c r="D24" i="2"/>
  <c r="C24" i="2"/>
  <c r="B24" i="2"/>
  <c r="J23" i="2"/>
  <c r="I23" i="2"/>
  <c r="H23" i="2"/>
  <c r="G23" i="2"/>
  <c r="F23" i="2"/>
  <c r="E23" i="2"/>
  <c r="D23" i="2"/>
  <c r="C23" i="2"/>
  <c r="B23" i="2"/>
  <c r="J22" i="2"/>
  <c r="I22" i="2"/>
  <c r="H22" i="2"/>
  <c r="G22" i="2"/>
  <c r="F22" i="2"/>
  <c r="E22" i="2"/>
  <c r="D22" i="2"/>
  <c r="C22" i="2"/>
  <c r="B22" i="2"/>
  <c r="J21" i="2"/>
  <c r="I21" i="2"/>
  <c r="H21" i="2"/>
  <c r="G21" i="2"/>
  <c r="F21" i="2"/>
  <c r="E21" i="2"/>
  <c r="D21" i="2"/>
  <c r="C21" i="2"/>
  <c r="B21" i="2"/>
  <c r="J20" i="2"/>
  <c r="I20" i="2"/>
  <c r="H20" i="2"/>
  <c r="G20" i="2"/>
  <c r="F20" i="2"/>
  <c r="E20" i="2"/>
  <c r="D20" i="2"/>
  <c r="C20" i="2"/>
  <c r="B20" i="2"/>
  <c r="J19" i="2"/>
  <c r="I19" i="2"/>
  <c r="H19" i="2"/>
  <c r="G19" i="2"/>
  <c r="F19" i="2"/>
  <c r="E19" i="2"/>
  <c r="D19" i="2"/>
  <c r="C19" i="2"/>
  <c r="B19" i="2"/>
  <c r="J18" i="2"/>
  <c r="I18" i="2"/>
  <c r="H18" i="2"/>
  <c r="G18" i="2"/>
  <c r="F18" i="2"/>
  <c r="E18" i="2"/>
  <c r="D18" i="2"/>
  <c r="C18" i="2"/>
  <c r="B18" i="2"/>
  <c r="J17" i="2"/>
  <c r="I17" i="2"/>
  <c r="H17" i="2"/>
  <c r="G17" i="2"/>
  <c r="F17" i="2"/>
  <c r="E17" i="2"/>
  <c r="D17" i="2"/>
  <c r="C17" i="2"/>
  <c r="B17" i="2"/>
  <c r="J16" i="2"/>
  <c r="I16" i="2"/>
  <c r="H16" i="2"/>
  <c r="G16" i="2"/>
  <c r="F16" i="2"/>
  <c r="E16" i="2"/>
  <c r="D16" i="2"/>
  <c r="C16" i="2"/>
  <c r="B16" i="2"/>
  <c r="J15" i="2"/>
  <c r="I15" i="2"/>
  <c r="H15" i="2"/>
  <c r="G15" i="2"/>
  <c r="F15" i="2"/>
  <c r="E15" i="2"/>
  <c r="D15" i="2"/>
  <c r="C15" i="2"/>
  <c r="B15" i="2"/>
  <c r="B7" i="2"/>
  <c r="B5" i="2"/>
  <c r="L47" i="1"/>
  <c r="L28" i="2" s="1"/>
  <c r="K47" i="1"/>
  <c r="K28" i="2" s="1"/>
  <c r="L46" i="1"/>
  <c r="L27" i="2" s="1"/>
  <c r="K46" i="1"/>
  <c r="K27" i="2" s="1"/>
  <c r="L45" i="1"/>
  <c r="L26" i="2" s="1"/>
  <c r="K45" i="1"/>
  <c r="K26" i="2" s="1"/>
  <c r="L44" i="1"/>
  <c r="L25" i="2" s="1"/>
  <c r="K44" i="1"/>
  <c r="K25" i="2" s="1"/>
  <c r="K43" i="1"/>
  <c r="L43" i="1" s="1"/>
  <c r="L24" i="2" s="1"/>
  <c r="K42" i="1"/>
  <c r="L42" i="1" s="1"/>
  <c r="L23" i="2" s="1"/>
  <c r="K41" i="1"/>
  <c r="K22" i="2" s="1"/>
  <c r="K40" i="1"/>
  <c r="L40" i="1" s="1"/>
  <c r="L21" i="2" s="1"/>
  <c r="K39" i="1"/>
  <c r="K20" i="2" s="1"/>
  <c r="K38" i="1"/>
  <c r="K19" i="2" s="1"/>
  <c r="K37" i="1"/>
  <c r="L37" i="1" s="1"/>
  <c r="L18" i="2" s="1"/>
  <c r="K36" i="1"/>
  <c r="L36" i="1" s="1"/>
  <c r="L17" i="2" s="1"/>
  <c r="K35" i="1"/>
  <c r="K16" i="2" s="1"/>
  <c r="K34" i="1"/>
  <c r="L34" i="1" s="1"/>
  <c r="E30" i="1"/>
  <c r="L16" i="1" s="1"/>
  <c r="I29" i="1"/>
  <c r="H29" i="1"/>
  <c r="G29" i="1"/>
  <c r="E72" i="2" s="1"/>
  <c r="F29" i="1"/>
  <c r="I28" i="1"/>
  <c r="H28" i="1"/>
  <c r="G28" i="1"/>
  <c r="E71" i="2" s="1"/>
  <c r="F28" i="1"/>
  <c r="I27" i="1"/>
  <c r="H27" i="1"/>
  <c r="G27" i="1"/>
  <c r="D70" i="2" s="1"/>
  <c r="F27" i="1"/>
  <c r="I26" i="1"/>
  <c r="H26" i="1"/>
  <c r="G26" i="1"/>
  <c r="E69" i="2" s="1"/>
  <c r="F26" i="1"/>
  <c r="F23" i="1"/>
  <c r="I22" i="1"/>
  <c r="H22" i="1"/>
  <c r="G22" i="1"/>
  <c r="B65" i="2" s="1"/>
  <c r="F22" i="1"/>
  <c r="I19" i="1"/>
  <c r="H19" i="1"/>
  <c r="G19" i="1"/>
  <c r="A62" i="2" s="1"/>
  <c r="I18" i="1"/>
  <c r="H18" i="1"/>
  <c r="G18" i="1"/>
  <c r="B61" i="2" s="1"/>
  <c r="F18" i="1"/>
  <c r="I17" i="1"/>
  <c r="H17" i="1"/>
  <c r="G17" i="1"/>
  <c r="B60" i="2" s="1"/>
  <c r="F17" i="1"/>
  <c r="I16" i="1"/>
  <c r="H16" i="1"/>
  <c r="G16" i="1"/>
  <c r="E59" i="2" s="1"/>
  <c r="F16" i="1"/>
  <c r="L15" i="1"/>
  <c r="I15" i="1"/>
  <c r="H15" i="1"/>
  <c r="G15" i="1"/>
  <c r="E58" i="2" s="1"/>
  <c r="F15" i="1"/>
  <c r="G14" i="1"/>
  <c r="A57" i="2" s="1"/>
  <c r="F14" i="1"/>
  <c r="G13" i="1"/>
  <c r="E56" i="2" s="1"/>
  <c r="F13" i="1"/>
  <c r="G12" i="1"/>
  <c r="D55" i="2" s="1"/>
  <c r="F12" i="1"/>
  <c r="L11" i="1"/>
  <c r="G11" i="1"/>
  <c r="E54" i="2" s="1"/>
  <c r="F11" i="1"/>
  <c r="G10" i="1"/>
  <c r="E53" i="2" s="1"/>
  <c r="F10" i="1"/>
  <c r="B47" i="2" l="1"/>
  <c r="F20" i="1"/>
  <c r="G20" i="1"/>
  <c r="C63" i="2" s="1"/>
  <c r="F35" i="2"/>
  <c r="I20" i="1"/>
  <c r="F21" i="1"/>
  <c r="L39" i="1"/>
  <c r="L20" i="2" s="1"/>
  <c r="B37" i="2"/>
  <c r="C44" i="2"/>
  <c r="D44" i="2"/>
  <c r="K18" i="2"/>
  <c r="G34" i="2"/>
  <c r="G21" i="1"/>
  <c r="C64" i="2" s="1"/>
  <c r="H21" i="1"/>
  <c r="B44" i="2"/>
  <c r="G46" i="2"/>
  <c r="K15" i="2"/>
  <c r="K24" i="2"/>
  <c r="F36" i="2"/>
  <c r="F34" i="2"/>
  <c r="C47" i="2"/>
  <c r="B38" i="2"/>
  <c r="F44" i="2"/>
  <c r="E47" i="2"/>
  <c r="C37" i="2"/>
  <c r="G23" i="1"/>
  <c r="D66" i="2" s="1"/>
  <c r="H23" i="1"/>
  <c r="B45" i="2"/>
  <c r="F47" i="2"/>
  <c r="E44" i="2"/>
  <c r="C38" i="2"/>
  <c r="I23" i="1"/>
  <c r="D42" i="2"/>
  <c r="C45" i="2"/>
  <c r="G47" i="2"/>
  <c r="D47" i="2"/>
  <c r="F24" i="1"/>
  <c r="E42" i="2"/>
  <c r="D45" i="2"/>
  <c r="B48" i="2"/>
  <c r="F42" i="2"/>
  <c r="E45" i="2"/>
  <c r="C48" i="2"/>
  <c r="G24" i="1"/>
  <c r="E67" i="2" s="1"/>
  <c r="H24" i="1"/>
  <c r="G42" i="2"/>
  <c r="F45" i="2"/>
  <c r="D48" i="2"/>
  <c r="B35" i="2"/>
  <c r="B43" i="2"/>
  <c r="G45" i="2"/>
  <c r="E48" i="2"/>
  <c r="F25" i="1"/>
  <c r="C35" i="2"/>
  <c r="C43" i="2"/>
  <c r="B46" i="2"/>
  <c r="F48" i="2"/>
  <c r="D43" i="2"/>
  <c r="C46" i="2"/>
  <c r="G48" i="2"/>
  <c r="H25" i="1"/>
  <c r="E43" i="2"/>
  <c r="D46" i="2"/>
  <c r="G25" i="1"/>
  <c r="C68" i="2" s="1"/>
  <c r="B36" i="2"/>
  <c r="F43" i="2"/>
  <c r="E46" i="2"/>
  <c r="C36" i="2"/>
  <c r="G43" i="2"/>
  <c r="F46" i="2"/>
  <c r="I11" i="1"/>
  <c r="H13" i="1"/>
  <c r="C54" i="2"/>
  <c r="C60" i="2"/>
  <c r="E60" i="2"/>
  <c r="I13" i="1"/>
  <c r="C34" i="2" s="1"/>
  <c r="D63" i="2"/>
  <c r="B67" i="2"/>
  <c r="D67" i="2"/>
  <c r="A70" i="2"/>
  <c r="C70" i="2"/>
  <c r="F30" i="1"/>
  <c r="L10" i="1" s="1"/>
  <c r="E70" i="2"/>
  <c r="A71" i="2"/>
  <c r="B34" i="2"/>
  <c r="D71" i="2"/>
  <c r="L15" i="2"/>
  <c r="H14" i="1"/>
  <c r="L38" i="1"/>
  <c r="L19" i="2" s="1"/>
  <c r="B32" i="2"/>
  <c r="A54" i="2"/>
  <c r="B57" i="2"/>
  <c r="E66" i="2"/>
  <c r="H11" i="1"/>
  <c r="I14" i="1"/>
  <c r="G32" i="2" s="1"/>
  <c r="K21" i="2"/>
  <c r="B54" i="2"/>
  <c r="C57" i="2"/>
  <c r="D60" i="2"/>
  <c r="E63" i="2"/>
  <c r="B70" i="2"/>
  <c r="D54" i="2"/>
  <c r="E57" i="2"/>
  <c r="A61" i="2"/>
  <c r="A55" i="2"/>
  <c r="B58" i="2"/>
  <c r="C61" i="2"/>
  <c r="H12" i="1"/>
  <c r="L41" i="1"/>
  <c r="L22" i="2" s="1"/>
  <c r="F33" i="2"/>
  <c r="F37" i="2"/>
  <c r="B55" i="2"/>
  <c r="C58" i="2"/>
  <c r="D61" i="2"/>
  <c r="B71" i="2"/>
  <c r="B33" i="2"/>
  <c r="K23" i="2"/>
  <c r="G37" i="2"/>
  <c r="C55" i="2"/>
  <c r="D58" i="2"/>
  <c r="E61" i="2"/>
  <c r="A65" i="2"/>
  <c r="C71" i="2"/>
  <c r="A58" i="2"/>
  <c r="E55" i="2"/>
  <c r="A59" i="2"/>
  <c r="B62" i="2"/>
  <c r="C65" i="2"/>
  <c r="L35" i="1"/>
  <c r="L16" i="2" s="1"/>
  <c r="B42" i="2"/>
  <c r="A56" i="2"/>
  <c r="B59" i="2"/>
  <c r="C62" i="2"/>
  <c r="D65" i="2"/>
  <c r="A72" i="2"/>
  <c r="C42" i="2"/>
  <c r="A53" i="2"/>
  <c r="B56" i="2"/>
  <c r="C59" i="2"/>
  <c r="D62" i="2"/>
  <c r="E65" i="2"/>
  <c r="A69" i="2"/>
  <c r="B72" i="2"/>
  <c r="F32" i="2"/>
  <c r="D57" i="2"/>
  <c r="K17" i="2"/>
  <c r="I12" i="1"/>
  <c r="H10" i="1"/>
  <c r="B53" i="2"/>
  <c r="C56" i="2"/>
  <c r="D59" i="2"/>
  <c r="E62" i="2"/>
  <c r="A66" i="2"/>
  <c r="B69" i="2"/>
  <c r="C72" i="2"/>
  <c r="I10" i="1"/>
  <c r="G44" i="2"/>
  <c r="C53" i="2"/>
  <c r="D56" i="2"/>
  <c r="A63" i="2"/>
  <c r="B66" i="2"/>
  <c r="C69" i="2"/>
  <c r="D72" i="2"/>
  <c r="D53" i="2"/>
  <c r="A60" i="2"/>
  <c r="B63" i="2"/>
  <c r="C66" i="2"/>
  <c r="D69" i="2"/>
  <c r="D64" i="2" l="1"/>
  <c r="A64" i="2"/>
  <c r="E64" i="2"/>
  <c r="B64" i="2"/>
  <c r="H46" i="2"/>
  <c r="C33" i="2"/>
  <c r="D68" i="2"/>
  <c r="H44" i="2"/>
  <c r="E68" i="2"/>
  <c r="E73" i="2" s="1"/>
  <c r="C67" i="2"/>
  <c r="A68" i="2"/>
  <c r="H45" i="2"/>
  <c r="B68" i="2"/>
  <c r="H43" i="2"/>
  <c r="A67" i="2"/>
  <c r="G30" i="1"/>
  <c r="H48" i="2"/>
  <c r="H47" i="2"/>
  <c r="H42" i="2"/>
  <c r="B6" i="2"/>
  <c r="L12" i="1"/>
  <c r="L13" i="1"/>
  <c r="H30" i="1"/>
  <c r="L17" i="1"/>
  <c r="G33" i="2"/>
  <c r="I30" i="1"/>
  <c r="C32" i="2"/>
  <c r="L14" i="1"/>
</calcChain>
</file>

<file path=xl/sharedStrings.xml><?xml version="1.0" encoding="utf-8"?>
<sst xmlns="http://schemas.openxmlformats.org/spreadsheetml/2006/main" count="709" uniqueCount="485">
  <si>
    <t>CENTERBEAM LUMBER CAR LAYOUT PLANNER  —  72 ft</t>
  </si>
  <si>
    <t>Inventory is a line-item tally: each line = Product + Length + Grade + Packs. Cell FILL = product, BORDER = grade. Each car row totals exactly 72 ft. Example loaded.</t>
  </si>
  <si>
    <t>CONFIGURATION</t>
  </si>
  <si>
    <t>Number of Rows:</t>
  </si>
  <si>
    <t>Row Capacity (ft):</t>
  </si>
  <si>
    <t>LUMBER INVENTORY  —  line-item tally (Product × Length × Grade)</t>
  </si>
  <si>
    <t>#</t>
  </si>
  <si>
    <t>Product</t>
  </si>
  <si>
    <t>Length</t>
  </si>
  <si>
    <t>Grade</t>
  </si>
  <si>
    <t>Packs</t>
  </si>
  <si>
    <t>Lineal</t>
  </si>
  <si>
    <t>Placed</t>
  </si>
  <si>
    <t>Remain</t>
  </si>
  <si>
    <t>LOAD STATUS</t>
  </si>
  <si>
    <t>2x4</t>
  </si>
  <si>
    <t>2</t>
  </si>
  <si>
    <t>Total Lineal Ft:</t>
  </si>
  <si>
    <t>2x6</t>
  </si>
  <si>
    <t>Car Capacity (ft):</t>
  </si>
  <si>
    <t>Difference:</t>
  </si>
  <si>
    <t>2x8</t>
  </si>
  <si>
    <t>MSR</t>
  </si>
  <si>
    <t>Rows Needed:</t>
  </si>
  <si>
    <t>1</t>
  </si>
  <si>
    <t>Rows OK (=72):</t>
  </si>
  <si>
    <t>Packs Placed:</t>
  </si>
  <si>
    <t>Packs Unplaced:</t>
  </si>
  <si>
    <t>STATUS:</t>
  </si>
  <si>
    <t>TOTAL</t>
  </si>
  <si>
    <t>LAYOUT GRID  —  product-length-grade per slot;  each row = exactly 72 ft</t>
  </si>
  <si>
    <t>Row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</si>
  <si>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</si>
  <si>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</si>
  <si>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</si>
  <si>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</si>
  <si>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</si>
  <si>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</si>
  <si>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</si>
  <si>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</si>
  <si>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</si>
  <si>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Total</t>
  </si>
  <si>
    <t>Check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</si>
  <si>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</si>
  <si>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</si>
  <si>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</si>
  <si>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</si>
  <si>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</si>
  <si>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</si>
  <si>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</si>
  <si>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</si>
  <si>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</si>
  <si>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</si>
  <si>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</si>
  <si>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</si>
  <si>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</si>
  <si>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</si>
  <si>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LENGTH (fill):</t>
  </si>
  <si>
    <t>8'</t>
  </si>
  <si>
    <t>10'</t>
  </si>
  <si>
    <t>12'</t>
  </si>
  <si>
    <t>14'</t>
  </si>
  <si>
    <t>16'</t>
  </si>
  <si>
    <t>18'</t>
  </si>
  <si>
    <t>20'</t>
  </si>
  <si>
    <t>PRODUCT (border):</t>
  </si>
  <si>
    <t>2x10</t>
  </si>
  <si>
    <t>4x4</t>
  </si>
  <si>
    <t>4x6</t>
  </si>
  <si>
    <t>6x6</t>
  </si>
  <si>
    <t>GRADE (text color):</t>
  </si>
  <si>
    <t>3</t>
  </si>
  <si>
    <t>4</t>
  </si>
  <si>
    <t>2P</t>
  </si>
  <si>
    <t>START OVER: clear grid (B34:J47) and line items (B10:E29). One-click Solve/Clear: see 'Auto-Solve (VBA)'.</t>
  </si>
  <si>
    <t>LOAD MANIFEST</t>
  </si>
  <si>
    <t>Car layout mirrors the Planner. Cell FILL = product, BORDER = grade. Differentiated by product, length, and grade below.</t>
  </si>
  <si>
    <t>Car Type:</t>
  </si>
  <si>
    <t>Centerbeam 72 ft</t>
  </si>
  <si>
    <t>Rows:</t>
  </si>
  <si>
    <t>Date:</t>
  </si>
  <si>
    <t>Notes:</t>
  </si>
  <si>
    <t>(car #, shipper, instructions)</t>
  </si>
  <si>
    <t>GRADE (text):</t>
  </si>
  <si>
    <t>CAR LAYOUT (as loaded)  —  each row = 72 ft, loaded left→right from the center beam</t>
  </si>
  <si>
    <t>Status</t>
  </si>
  <si>
    <t>SUMMARY BY PRODUCT</t>
  </si>
  <si>
    <t>SUMMARY BY GRADE</t>
  </si>
  <si>
    <t>Placed Packs</t>
  </si>
  <si>
    <t>Lineal Ft</t>
  </si>
  <si>
    <t>PLACED PACKS — product × grade</t>
  </si>
  <si>
    <t>Prod\Grd</t>
  </si>
  <si>
    <t>PICK LIST — packs to pull for this car (auto-generated from the layout)</t>
  </si>
  <si>
    <t>Packs to Pick</t>
  </si>
  <si>
    <t>VALID 72-FT LENGTH PATTERNS</t>
  </si>
  <si>
    <t>Every length combination summing to 72 ft, color-coded by length. The 72-ft fit depends only on lengths; product &amp; grade ride along on each pack.</t>
  </si>
  <si>
    <t>Lengths (ft)</t>
  </si>
  <si>
    <t>20 20 20 12</t>
  </si>
  <si>
    <t>20 20 18 14</t>
  </si>
  <si>
    <t>20 20 16 16</t>
  </si>
  <si>
    <t>20 18 18 16</t>
  </si>
  <si>
    <t>18 18 18 18</t>
  </si>
  <si>
    <t>20 20 16 8 8</t>
  </si>
  <si>
    <t>20 20 14 10 8</t>
  </si>
  <si>
    <t>20 20 12 12 8</t>
  </si>
  <si>
    <t>20 20 12 10 10</t>
  </si>
  <si>
    <t>20 18 18 8 8</t>
  </si>
  <si>
    <t>20 18 16 10 8</t>
  </si>
  <si>
    <t>20 18 14 12 8</t>
  </si>
  <si>
    <t>20 18 14 10 10</t>
  </si>
  <si>
    <t>20 18 12 12 10</t>
  </si>
  <si>
    <t>20 16 16 12 8</t>
  </si>
  <si>
    <t>20 16 16 10 10</t>
  </si>
  <si>
    <t>20 16 14 14 8</t>
  </si>
  <si>
    <t>20 16 14 12 10</t>
  </si>
  <si>
    <t>20 16 12 12 12</t>
  </si>
  <si>
    <t>20 14 14 14 10</t>
  </si>
  <si>
    <t>20 14 14 12 12</t>
  </si>
  <si>
    <t>18 18 18 10 8</t>
  </si>
  <si>
    <t>18 18 16 12 8</t>
  </si>
  <si>
    <t>18 18 16 10 10</t>
  </si>
  <si>
    <t>18 18 14 14 8</t>
  </si>
  <si>
    <t>18 18 14 12 10</t>
  </si>
  <si>
    <t>18 18 12 12 12</t>
  </si>
  <si>
    <t>18 16 16 14 8</t>
  </si>
  <si>
    <t>18 16 16 12 10</t>
  </si>
  <si>
    <t>18 16 14 14 10</t>
  </si>
  <si>
    <t>18 16 14 12 12</t>
  </si>
  <si>
    <t>18 14 14 14 12</t>
  </si>
  <si>
    <t>16 16 16 16 8</t>
  </si>
  <si>
    <t>16 16 16 14 10</t>
  </si>
  <si>
    <t>16 16 16 12 12</t>
  </si>
  <si>
    <t>16 16 14 14 12</t>
  </si>
  <si>
    <t>16 14 14 14 14</t>
  </si>
  <si>
    <t>20 20 8 8 8 8</t>
  </si>
  <si>
    <t>20 18 10 8 8 8</t>
  </si>
  <si>
    <t>20 16 12 8 8 8</t>
  </si>
  <si>
    <t>20 16 10 10 8 8</t>
  </si>
  <si>
    <t>20 14 14 8 8 8</t>
  </si>
  <si>
    <t>20 14 12 10 8 8</t>
  </si>
  <si>
    <t>20 14 10 10 10 8</t>
  </si>
  <si>
    <t>20 12 12 12 8 8</t>
  </si>
  <si>
    <t>20 12 12 10 10 8</t>
  </si>
  <si>
    <t>20 12 10 10 10 10</t>
  </si>
  <si>
    <t>18 18 12 8 8 8</t>
  </si>
  <si>
    <t>18 18 10 10 8 8</t>
  </si>
  <si>
    <t>18 16 14 8 8 8</t>
  </si>
  <si>
    <t>18 16 12 10 8 8</t>
  </si>
  <si>
    <t>18 16 10 10 10 8</t>
  </si>
  <si>
    <t>18 14 14 10 8 8</t>
  </si>
  <si>
    <t>18 14 12 12 8 8</t>
  </si>
  <si>
    <t>18 14 12 10 10 8</t>
  </si>
  <si>
    <t>18 14 10 10 10 10</t>
  </si>
  <si>
    <t>18 12 12 12 10 8</t>
  </si>
  <si>
    <t>18 12 12 10 10 10</t>
  </si>
  <si>
    <t>16 16 16 8 8 8</t>
  </si>
  <si>
    <t>16 16 14 10 8 8</t>
  </si>
  <si>
    <t>16 16 12 12 8 8</t>
  </si>
  <si>
    <t>16 16 12 10 10 8</t>
  </si>
  <si>
    <t>16 16 10 10 10 10</t>
  </si>
  <si>
    <t>16 14 14 12 8 8</t>
  </si>
  <si>
    <t>16 14 14 10 10 8</t>
  </si>
  <si>
    <t>16 14 12 12 10 8</t>
  </si>
  <si>
    <t>16 14 12 10 10 10</t>
  </si>
  <si>
    <t>16 12 12 12 12 8</t>
  </si>
  <si>
    <t>16 12 12 12 10 10</t>
  </si>
  <si>
    <t>14 14 14 14 8 8</t>
  </si>
  <si>
    <t>14 14 14 12 10 8</t>
  </si>
  <si>
    <t>14 14 14 10 10 10</t>
  </si>
  <si>
    <t>14 14 12 12 12 8</t>
  </si>
  <si>
    <t>14 14 12 12 10 10</t>
  </si>
  <si>
    <t>14 12 12 12 12 10</t>
  </si>
  <si>
    <t>12 12 12 12 12 12</t>
  </si>
  <si>
    <t>20 12 8 8 8 8 8</t>
  </si>
  <si>
    <t>20 10 10 8 8 8 8</t>
  </si>
  <si>
    <t>18 14 8 8 8 8 8</t>
  </si>
  <si>
    <t>18 12 10 8 8 8 8</t>
  </si>
  <si>
    <t>18 10 10 10 8 8 8</t>
  </si>
  <si>
    <t>16 16 8 8 8 8 8</t>
  </si>
  <si>
    <t>16 14 10 8 8 8 8</t>
  </si>
  <si>
    <t>16 12 12 8 8 8 8</t>
  </si>
  <si>
    <t>16 12 10 10 8 8 8</t>
  </si>
  <si>
    <t>16 10 10 10 10 8 8</t>
  </si>
  <si>
    <t>14 14 12 8 8 8 8</t>
  </si>
  <si>
    <t>14 14 10 10 8 8 8</t>
  </si>
  <si>
    <t>14 12 12 10 8 8 8</t>
  </si>
  <si>
    <t>14 12 10 10 10 8 8</t>
  </si>
  <si>
    <t>14 10 10 10 10 10 8</t>
  </si>
  <si>
    <t>12 12 12 12 8 8 8</t>
  </si>
  <si>
    <t>12 12 12 10 10 8 8</t>
  </si>
  <si>
    <t>12 12 10 10 10 10 8</t>
  </si>
  <si>
    <t>12 10 10 10 10 10 10</t>
  </si>
  <si>
    <t>16 8 8 8 8 8 8 8</t>
  </si>
  <si>
    <t>14 10 8 8 8 8 8 8</t>
  </si>
  <si>
    <t>12 12 8 8 8 8 8 8</t>
  </si>
  <si>
    <t>12 10 10 8 8 8 8 8</t>
  </si>
  <si>
    <t>10 10 10 10 8 8 8 8</t>
  </si>
  <si>
    <t>8 8 8 8 8 8 8 8 8</t>
  </si>
  <si>
    <t>Length colors:</t>
  </si>
  <si>
    <t>OPTIONAL: ONE-CLICK AUTO-SOLVER (VBA MACRO)</t>
  </si>
  <si>
    <t>The Planner works WITHOUT macros (a solved example is loaded). For one-click solving:</t>
  </si>
  <si>
    <t xml:space="preserve">  1.  Save As ▸ Excel Macro-Enabled Workbook (*.xlsm).</t>
  </si>
  <si>
    <t xml:space="preserve">  2.  Alt+F11 ▸ File ▸ Import File ▸ CenterbeamSolver.bas  (or Insert ▸ Module and paste the code below).</t>
  </si>
  <si>
    <t xml:space="preserve">  3.  Developer ▸ Insert ▸ Button (Form Control); assign 'SolveLayout'. Add a 2nd button ▸ 'ClearAll'.</t>
  </si>
  <si>
    <t xml:space="preserve">  4.  SOLVE reads the line-item inventory, fills every selected row to 72 ft, and assigns product+grade</t>
  </si>
  <si>
    <t xml:space="preserve">      grouped so like packs stack in columns.  CLEAR resets the grid + line items. ClearGrid clears grid only.</t>
  </si>
  <si>
    <t xml:space="preserve">  Cell fill = product, border = grade (see legends on the Planner &amp; Manifest).</t>
  </si>
  <si>
    <t>──────────────────────  VBA CODE — copy everything below  ──────────────────────</t>
  </si>
  <si>
    <t>Option Explicit</t>
  </si>
  <si>
    <t>' === Centerbeam 72-ft Auto-Solver (product + length + grade) ===</t>
  </si>
  <si>
    <t>Private Patterns As Collection</t>
  </si>
  <si>
    <t>Private Found As Boolean</t>
  </si>
  <si>
    <t>Private Chosen As Collection</t>
  </si>
  <si>
    <t>Private RemCount() As Long</t>
  </si>
  <si>
    <t>Private TypeLen() As Long</t>
  </si>
  <si>
    <t>Private NumTypes As Long</t>
  </si>
  <si>
    <t xml:space="preserve"> </t>
  </si>
  <si>
    <t>Sub SolveLayout()</t>
  </si>
  <si>
    <t xml:space="preserve">    Dim ws As Worksheet: Set ws = ThisWorkbook.Sheets("Planner")</t>
  </si>
  <si>
    <t xml:space="preserve">    Dim prods As Variant: prods = Array("2x4", "2x6", "2x8", "2x10", "4x4", "4x6", "6x6")</t>
  </si>
  <si>
    <t xml:space="preserve">    Dim grds As Variant:  grds = Array("1", "2", "3", "4", "2P", "MSR")</t>
  </si>
  <si>
    <t xml:space="preserve">    Dim lens As Variant:  lens = Array(8, 10, 12, 14, 16, 18, 20)</t>
  </si>
  <si>
    <t xml:space="preserve">    Const LIFIRST As Long = 10</t>
  </si>
  <si>
    <t xml:space="preserve">    Const LILAST As Long = 29</t>
  </si>
  <si>
    <t xml:space="preserve">    Const GRIDFIRST As Long = 34</t>
  </si>
  <si>
    <t xml:space="preserve">    Const SLOTS As Long = 9</t>
  </si>
  <si>
    <t xml:space="preserve">    Dim numRows As Long: numRows = ws.Range("C5").Value</t>
  </si>
  <si>
    <t xml:space="preserve">    Dim target As Long: target = ws.Range("C6").Value</t>
  </si>
  <si>
    <t xml:space="preserve">    ' --- read line items ---</t>
  </si>
  <si>
    <t xml:space="preserve">    Dim nItems As Long: nItems = 0</t>
  </si>
  <si>
    <t xml:space="preserve">    Dim itP() As String, itL() As Long, itG() As String, itQ() As Long</t>
  </si>
  <si>
    <t xml:space="preserve">    ReDim itP(1 To LILAST - LIFIRST + 1)</t>
  </si>
  <si>
    <t xml:space="preserve">    ReDim itL(1 To LILAST - LIFIRST + 1)</t>
  </si>
  <si>
    <t xml:space="preserve">    ReDim itG(1 To LILAST - LIFIRST + 1)</t>
  </si>
  <si>
    <t xml:space="preserve">    ReDim itQ(1 To LILAST - LIFIRST + 1)</t>
  </si>
  <si>
    <t xml:space="preserve">    Dim r As Long</t>
  </si>
  <si>
    <t xml:space="preserve">    For r = LIFIRST To LILAST</t>
  </si>
  <si>
    <t xml:space="preserve">        Dim pp As String: pp = Trim(CStr(ws.Cells(r, 2).Value))</t>
  </si>
  <si>
    <t xml:space="preserve">        Dim ll As Variant: ll = ws.Cells(r, 3).Value</t>
  </si>
  <si>
    <t xml:space="preserve">        Dim gg As String: gg = Trim(CStr(ws.Cells(r, 4).Value))</t>
  </si>
  <si>
    <t xml:space="preserve">        Dim qq As Variant: qq = ws.Cells(r, 5).Value</t>
  </si>
  <si>
    <t xml:space="preserve">        If pp &lt;&gt; "" And IsNumeric(ll) And IsNumeric(qq) Then</t>
  </si>
  <si>
    <t xml:space="preserve">            If CLng(qq) &gt; 0 Then</t>
  </si>
  <si>
    <t xml:space="preserve">                nItems = nItems + 1</t>
  </si>
  <si>
    <t xml:space="preserve">                itP(nItems) = pp: itL(nItems) = CLng(ll): itG(nItems) = gg: itQ(nItems) = CLng(qq)</t>
  </si>
  <si>
    <t xml:space="preserve">            End If</t>
  </si>
  <si>
    <t xml:space="preserve">        End If</t>
  </si>
  <si>
    <t xml:space="preserve">    Next r</t>
  </si>
  <si>
    <t xml:space="preserve">    If nItems = 0 Then MsgBox "Enter some line items first.": Exit Sub</t>
  </si>
  <si>
    <t xml:space="preserve">    ' --- length totals ---</t>
  </si>
  <si>
    <t xml:space="preserve">    Dim nl As Long: nl = UBound(lens) + 1</t>
  </si>
  <si>
    <t xml:space="preserve">    Dim lenTot() As Long: ReDim lenTot(0 To nl - 1)</t>
  </si>
  <si>
    <t xml:space="preserve">    Dim i As Long, li As Long, total As Long</t>
  </si>
  <si>
    <t xml:space="preserve">    For i = 1 To nItems</t>
  </si>
  <si>
    <t xml:space="preserve">        For li = 0 To nl - 1</t>
  </si>
  <si>
    <t xml:space="preserve">            If lens(li) = itL(i) Then lenTot(li) = lenTot(li) + itQ(i): total = total + itQ(i) * itL(i): Exit For</t>
  </si>
  <si>
    <t xml:space="preserve">        Next li</t>
  </si>
  <si>
    <t xml:space="preserve">    Next i</t>
  </si>
  <si>
    <t xml:space="preserve">    ' --- length types (descending) ---</t>
  </si>
  <si>
    <t xml:space="preserve">    NumTypes = 0</t>
  </si>
  <si>
    <t xml:space="preserve">    For li = 0 To nl - 1</t>
  </si>
  <si>
    <t xml:space="preserve">        If lenTot(li) &gt; 0 Then NumTypes = NumTypes + 1</t>
  </si>
  <si>
    <t xml:space="preserve">    Next li</t>
  </si>
  <si>
    <t xml:space="preserve">    ReDim TypeLen(0 To NumTypes - 1): ReDim RemCount(0 To NumTypes - 1)</t>
  </si>
  <si>
    <t xml:space="preserve">    Dim k As Long: k = 0</t>
  </si>
  <si>
    <t xml:space="preserve">    For li = nl - 1 To 0 Step -1</t>
  </si>
  <si>
    <t xml:space="preserve">        If lenTot(li) &gt; 0 Then TypeLen(k) = lens(li): RemCount(k) = lenTot(li): k = k + 1</t>
  </si>
  <si>
    <t xml:space="preserve">    ' --- solve length layout ---</t>
  </si>
  <si>
    <t xml:space="preserve">    Set Patterns = New Collection</t>
  </si>
  <si>
    <t xml:space="preserve">    EnumPatterns 0, target, ""</t>
  </si>
  <si>
    <t xml:space="preserve">    SortPatterns</t>
  </si>
  <si>
    <t xml:space="preserve">    Dim fillable As Long</t>
  </si>
  <si>
    <t xml:space="preserve">    If numRows &lt; Int(total / target) Then fillable = numRows Else fillable = Int(total / target)</t>
  </si>
  <si>
    <t xml:space="preserve">    Set Chosen = New Collection</t>
  </si>
  <si>
    <t xml:space="preserve">    Found = False</t>
  </si>
  <si>
    <t xml:space="preserve">    Solve 0, fillable, target</t>
  </si>
  <si>
    <t xml:space="preserve">    Dim s As Long</t>
  </si>
  <si>
    <t xml:space="preserve">    For r = 0 To 13</t>
  </si>
  <si>
    <t xml:space="preserve">        For s = 0 To SLOTS - 1: ws.Cells(GRIDFIRST + r, 2 + s).ClearContents: Next s</t>
  </si>
  <si>
    <t xml:space="preserve">    If Not Found Then MsgBox "No exact 72-ft solution exists for these lengths and row count.", vbExclamation: Exit Sub</t>
  </si>
  <si>
    <t xml:space="preserve">    ' --- order rows for column stacking ---</t>
  </si>
  <si>
    <t xml:space="preserve">    Dim nR As Long: nR = Chosen.Count</t>
  </si>
  <si>
    <t xml:space="preserve">    Dim ordered() As String: ReDim ordered(1 To nR)</t>
  </si>
  <si>
    <t xml:space="preserve">    For r = 1 To nR: ordered(r) = Chosen(r): Next r</t>
  </si>
  <si>
    <t xml:space="preserve">    Dim oa As Long, ob As Long, otmp As String</t>
  </si>
  <si>
    <t xml:space="preserve">    For oa = 1 To nR - 1</t>
  </si>
  <si>
    <t xml:space="preserve">        For ob = oa + 1 To nR</t>
  </si>
  <si>
    <t xml:space="preserve">            If CompareRows(ordered(ob), ordered(oa)) &lt; 0 Then otmp = ordered(oa): ordered(oa) = ordered(ob): ordered(ob) = otmp</t>
  </si>
  <si>
    <t xml:space="preserve">        Next ob</t>
  </si>
  <si>
    <t xml:space="preserve">    Next oa</t>
  </si>
  <si>
    <t xml:space="preserve">    ' --- build product+grade queue per length (grouped product order then grade order) ---</t>
  </si>
  <si>
    <t xml:space="preserve">    Dim maxQ As Long: maxQ = 0</t>
  </si>
  <si>
    <t xml:space="preserve">        If lenTot(li) &gt; maxQ Then maxQ = lenTot(li)</t>
  </si>
  <si>
    <t xml:space="preserve">    If maxQ &lt; 1 Then maxQ = 1</t>
  </si>
  <si>
    <t xml:space="preserve">    Dim qP() As String, qG() As String, qpos() As Long</t>
  </si>
  <si>
    <t xml:space="preserve">    ReDim qP(0 To nl - 1, 1 To maxQ): ReDim qG(0 To nl - 1, 1 To maxQ): ReDim qpos(0 To nl - 1)</t>
  </si>
  <si>
    <t xml:space="preserve">    Dim pix As Long, gix As Long, pos As Long, it As Long</t>
  </si>
  <si>
    <t xml:space="preserve">        pos = 0</t>
  </si>
  <si>
    <t xml:space="preserve">        For pix = 0 To UBound(prods)</t>
  </si>
  <si>
    <t xml:space="preserve">            For gix = 0 To UBound(grds)</t>
  </si>
  <si>
    <t xml:space="preserve">                For it = 1 To nItems</t>
  </si>
  <si>
    <t xml:space="preserve">                    If itL(it) = lens(li) And itP(it) = prods(pix) And itG(it) = grds(gix) Then</t>
  </si>
  <si>
    <t xml:space="preserve">                        Dim c As Long</t>
  </si>
  <si>
    <t xml:space="preserve">                        For c = 1 To itQ(it): pos = pos + 1: qP(li, pos) = prods(pix): qG(li, pos) = grds(gix): Next c</t>
  </si>
  <si>
    <t xml:space="preserve">                    End If</t>
  </si>
  <si>
    <t xml:space="preserve">                Next it</t>
  </si>
  <si>
    <t xml:space="preserve">            Next gix</t>
  </si>
  <si>
    <t xml:space="preserve">        Next pix</t>
  </si>
  <si>
    <t xml:space="preserve">        qpos(li) = 0</t>
  </si>
  <si>
    <t xml:space="preserve">    ' --- write rows ---</t>
  </si>
  <si>
    <t xml:space="preserve">    For r = 1 To nR</t>
  </si>
  <si>
    <t xml:space="preserve">        Dim arr() As String: arr = Split(Trim(ordered(r)), " ")</t>
  </si>
  <si>
    <t xml:space="preserve">        For s = 0 To UBound(arr)</t>
  </si>
  <si>
    <t xml:space="preserve">            If Len(arr(s)) &gt; 0 Then</t>
  </si>
  <si>
    <t xml:space="preserve">                Dim slotLen As Long: slotLen = CLng(arr(s))</t>
  </si>
  <si>
    <t xml:space="preserve">                Dim lidx As Long: lidx = -1</t>
  </si>
  <si>
    <t xml:space="preserve">                For li = 0 To nl - 1</t>
  </si>
  <si>
    <t xml:space="preserve">                    If lens(li) = slotLen Then lidx = li: Exit For</t>
  </si>
  <si>
    <t xml:space="preserve">                Next li</t>
  </si>
  <si>
    <t xml:space="preserve">                If lidx &gt;= 0 Then</t>
  </si>
  <si>
    <t xml:space="preserve">                    If qpos(lidx) &lt; lenTot(lidx) Then</t>
  </si>
  <si>
    <t xml:space="preserve">                        qpos(lidx) = qpos(lidx) + 1</t>
  </si>
  <si>
    <t xml:space="preserve">                        ws.Cells(GRIDFIRST + r - 1, 2 + s).Value = qP(lidx, qpos(lidx)) &amp; "-" &amp; slotLen &amp; "-" &amp; qG(lidx, qpos(lidx))</t>
  </si>
  <si>
    <t xml:space="preserve">                End If</t>
  </si>
  <si>
    <t xml:space="preserve">        Next s</t>
  </si>
  <si>
    <t xml:space="preserve">    MsgBox "Solved: " &amp; nR &amp; " rows at 72 ft. Product+grade grouped &amp; column-aligned.", vbInformation</t>
  </si>
  <si>
    <t>End Sub</t>
  </si>
  <si>
    <t>Private Sub EnumPatterns(ti As Long, remn As Long, cur As String)</t>
  </si>
  <si>
    <t xml:space="preserve">    If remn = 0 Then Patterns.Add cur: Exit Sub</t>
  </si>
  <si>
    <t xml:space="preserve">    If ti &gt;= NumTypes Then Exit Sub</t>
  </si>
  <si>
    <t xml:space="preserve">    Dim t As Long: t = TypeLen(ti)</t>
  </si>
  <si>
    <t xml:space="preserve">    Dim maxN As Long</t>
  </si>
  <si>
    <t xml:space="preserve">    If RemCount(ti) &lt; Int(remn / t) Then maxN = RemCount(ti) Else maxN = Int(remn / t)</t>
  </si>
  <si>
    <t xml:space="preserve">    Dim n As Long, j As Long, addStr As String</t>
  </si>
  <si>
    <t xml:space="preserve">    For n = maxN To 0 Step -1</t>
  </si>
  <si>
    <t xml:space="preserve">        addStr = cur</t>
  </si>
  <si>
    <t xml:space="preserve">        For j = 1 To n: addStr = addStr &amp; t &amp; " ": Next j</t>
  </si>
  <si>
    <t xml:space="preserve">        EnumPatterns ti + 1, remn - t * n, addStr</t>
  </si>
  <si>
    <t xml:space="preserve">    Next n</t>
  </si>
  <si>
    <t>Private Function PieceCount(patStr As String) As Long</t>
  </si>
  <si>
    <t xml:space="preserve">    Dim arr() As String: arr = Split(Trim(patStr), " ")</t>
  </si>
  <si>
    <t xml:space="preserve">    Dim s As Long, c As Long</t>
  </si>
  <si>
    <t xml:space="preserve">    For s = 0 To UBound(arr)</t>
  </si>
  <si>
    <t xml:space="preserve">        If Len(arr(s)) &gt; 0 Then c = c + 1</t>
  </si>
  <si>
    <t xml:space="preserve">    Next s</t>
  </si>
  <si>
    <t xml:space="preserve">    PieceCount = c</t>
  </si>
  <si>
    <t>End Function</t>
  </si>
  <si>
    <t>Private Function DistinctCount(patStr As String) As Long</t>
  </si>
  <si>
    <t xml:space="preserve">    Dim seen As String, s As Long, c As Long: seen = "|"</t>
  </si>
  <si>
    <t xml:space="preserve">        If Len(arr(s)) &gt; 0 Then</t>
  </si>
  <si>
    <t xml:space="preserve">            If InStr(seen, "|" &amp; arr(s) &amp; "|") = 0 Then seen = seen &amp; arr(s) &amp; "|": c = c + 1</t>
  </si>
  <si>
    <t xml:space="preserve">    DistinctCount = c</t>
  </si>
  <si>
    <t>Private Sub SortPatterns()</t>
  </si>
  <si>
    <t xml:space="preserve">    Dim n As Long: n = Patterns.Count</t>
  </si>
  <si>
    <t xml:space="preserve">    If n &lt; 2 Then Exit Sub</t>
  </si>
  <si>
    <t xml:space="preserve">    Dim arr() As String: ReDim arr(1 To n)</t>
  </si>
  <si>
    <t xml:space="preserve">    Dim i As Long: For i = 1 To n: arr(i) = Patterns(i): Next i</t>
  </si>
  <si>
    <t xml:space="preserve">    Dim a As Long, b As Long, tmp As String</t>
  </si>
  <si>
    <t xml:space="preserve">    For a = 1 To n - 1</t>
  </si>
  <si>
    <t xml:space="preserve">        For b = a + 1 To n</t>
  </si>
  <si>
    <t xml:space="preserve">            If PatBetter(arr(b), arr(a)) Then tmp = arr(a): arr(a) = arr(b): arr(b) = tmp</t>
  </si>
  <si>
    <t xml:space="preserve">        Next b</t>
  </si>
  <si>
    <t xml:space="preserve">    Next a</t>
  </si>
  <si>
    <t xml:space="preserve">    For i = 1 To n: Patterns.Add arr(i): Next i</t>
  </si>
  <si>
    <t>Private Function PatBetter(x As String, y As String) As Boolean</t>
  </si>
  <si>
    <t xml:space="preserve">    Dim dx As Long, dy As Long: dx = DistinctCount(x): dy = DistinctCount(y)</t>
  </si>
  <si>
    <t xml:space="preserve">    If dx &lt;&gt; dy Then PatBetter = (dx &lt; dy): Exit Function</t>
  </si>
  <si>
    <t xml:space="preserve">    Dim px As Long, py As Long: px = PieceCount(x): py = PieceCount(y)</t>
  </si>
  <si>
    <t xml:space="preserve">    If px &lt;&gt; py Then PatBetter = (px &lt; py): Exit Function</t>
  </si>
  <si>
    <t xml:space="preserve">    PatBetter = (CompareRows(x, y) &lt; 0)</t>
  </si>
  <si>
    <t>Private Function CompareRows(x As String, y As String) As Long</t>
  </si>
  <si>
    <t xml:space="preserve">    Dim ax() As String: ax = Split(Trim(x), " ")</t>
  </si>
  <si>
    <t xml:space="preserve">    Dim ay() As String: ay = Split(Trim(y), " ")</t>
  </si>
  <si>
    <t xml:space="preserve">    Dim nx As Long: nx = UBound(ax): Dim ny As Long: ny = UBound(ay)</t>
  </si>
  <si>
    <t xml:space="preserve">    Dim mm As Long: If nx &lt; ny Then mm = nx Else mm = ny</t>
  </si>
  <si>
    <t xml:space="preserve">    Dim i As Long, vx As Long, vy As Long</t>
  </si>
  <si>
    <t xml:space="preserve">    For i = 0 To mm</t>
  </si>
  <si>
    <t xml:space="preserve">        vx = CLng(ax(i)): vy = CLng(ay(i))</t>
  </si>
  <si>
    <t xml:space="preserve">        If vx &lt;&gt; vy Then CompareRows = IIf(vx &gt; vy, -1, 1): Exit Function</t>
  </si>
  <si>
    <t xml:space="preserve">    If nx &lt;&gt; ny Then CompareRows = IIf(nx &lt; ny, -1, 1) Else CompareRows = 0</t>
  </si>
  <si>
    <t>Private Sub Solve(rowIdx As Long, fillable As Long, target As Long)</t>
  </si>
  <si>
    <t xml:space="preserve">    If Found Then Exit Sub</t>
  </si>
  <si>
    <t xml:space="preserve">    If rowIdx = fillable Then Found = True: Exit Sub</t>
  </si>
  <si>
    <t xml:space="preserve">    Dim p As Variant, patStr As String</t>
  </si>
  <si>
    <t xml:space="preserve">    For Each p In Patterns</t>
  </si>
  <si>
    <t xml:space="preserve">        patStr = CStr(p)</t>
  </si>
  <si>
    <t xml:space="preserve">        If CanUse(patStr) Then</t>
  </si>
  <si>
    <t xml:space="preserve">            UsePat patStr, -1</t>
  </si>
  <si>
    <t xml:space="preserve">            Chosen.Add patStr</t>
  </si>
  <si>
    <t xml:space="preserve">            Solve rowIdx + 1, fillable, target</t>
  </si>
  <si>
    <t xml:space="preserve">            If Found Then Exit Sub</t>
  </si>
  <si>
    <t xml:space="preserve">            Chosen.Remove Chosen.Count</t>
  </si>
  <si>
    <t xml:space="preserve">            UsePat patStr, 1</t>
  </si>
  <si>
    <t xml:space="preserve">    Next p</t>
  </si>
  <si>
    <t>Private Function CanUse(patStr As String) As Boolean</t>
  </si>
  <si>
    <t xml:space="preserve">    Dim need() As Long: ReDim need(0 To NumTypes - 1)</t>
  </si>
  <si>
    <t xml:space="preserve">    Dim s As Long, i As Long, v As Long</t>
  </si>
  <si>
    <t xml:space="preserve">            v = CLng(arr(s))</t>
  </si>
  <si>
    <t xml:space="preserve">            For i = 0 To NumTypes - 1</t>
  </si>
  <si>
    <t xml:space="preserve">                If TypeLen(i) = v Then need(i) = need(i) + 1: Exit For</t>
  </si>
  <si>
    <t xml:space="preserve">            Next i</t>
  </si>
  <si>
    <t xml:space="preserve">    For i = 0 To NumTypes - 1</t>
  </si>
  <si>
    <t xml:space="preserve">        If need(i) &gt; RemCount(i) Then CanUse = False: Exit Function</t>
  </si>
  <si>
    <t xml:space="preserve">    CanUse = True</t>
  </si>
  <si>
    <t>Private Sub UsePat(patStr As String, delta As Long)</t>
  </si>
  <si>
    <t xml:space="preserve">                If TypeLen(i) = v Then RemCount(i) = RemCount(i) + delta: Exit For</t>
  </si>
  <si>
    <t>Sub ClearGrid()</t>
  </si>
  <si>
    <t xml:space="preserve">    Dim r As Long, s As Long</t>
  </si>
  <si>
    <t xml:space="preserve">        For s = 0 To 8: ws.Cells(34 + r, 2 + s).ClearContents: Next s</t>
  </si>
  <si>
    <t>Sub ClearAll()</t>
  </si>
  <si>
    <t xml:space="preserve">    If MsgBox("Clear the whole layout and all line items?", vbQuestion + vbYesNo, "Start Over") &lt;&gt; vbYes Then Exit Sub</t>
  </si>
  <si>
    <t xml:space="preserve">    For r = 10 To 29</t>
  </si>
  <si>
    <t xml:space="preserve">        ws.Cells(r, 2).ClearContents: ws.Cells(r, 3).ClearContents</t>
  </si>
  <si>
    <t xml:space="preserve">        ws.Cells(r, 4).ClearContents: ws.Cells(r, 5).ClearContents</t>
  </si>
  <si>
    <t xml:space="preserve">    MsgBox "Cleared. Enter new line items, then click Solve.", vbInformation</t>
  </si>
  <si>
    <t>Yes</t>
  </si>
  <si>
    <t>2x6-16-2</t>
  </si>
  <si>
    <t>2x6-8-2</t>
  </si>
  <si>
    <t>2x6-12-2</t>
  </si>
  <si>
    <t>2x6-14-2</t>
  </si>
  <si>
    <t>2x6-10-2</t>
  </si>
  <si>
    <t>CENTERBEAM LUMBER CAR LAYOUT PLANNER</t>
  </si>
  <si>
    <t>How to Use  -  macro-free (.xlsx) edition  -  72-ft centerbeam rail-car load planner</t>
  </si>
  <si>
    <t>1.  WHAT THIS TOOL DOES</t>
  </si>
  <si>
    <t>Plans how to load a 72-ft centerbeam rail car with packs of dimensional lumber so that every car row totals exactly 72 ft end-to-end.</t>
  </si>
  <si>
    <t>Each pack has three attributes:  Product (cross-section, e.g. 2x6)  •  Length (8-20 ft)  •  Grade (1, 2, 3, 4, 2P, MSR).</t>
  </si>
  <si>
    <t>Only LENGTH affects the 72-ft fit. Product and grade ride along on each pack and drive the colors and the manifest breakdowns.</t>
  </si>
  <si>
    <t>This is the macro-free (.xlsx) edition: there are NO Solve/Clear buttons. The Layout Grid holds a pre-solved example. To auto-solve your own inventory, use the macro workbook (.xlsm) or the browser app (centerbeam_layout_planner.html).</t>
  </si>
  <si>
    <t>2.  QUICK START</t>
  </si>
  <si>
    <t>1.  Set Number of Rows (cell C5) to 10 or 14.</t>
  </si>
  <si>
    <t>2.  Choose the load type with Single prod/grade? (cell C7) = Yes or No  (see section 4).</t>
  </si>
  <si>
    <t>3.  In single mode, set Product (G5) and Grade (G6); then enter Length + Packs on each inventory line (rows 10-29).</t>
  </si>
  <si>
    <t>4.  Read the inventory tally (Lineal / Placed / Remain) and the LOAD STATUS box.</t>
  </si>
  <si>
    <t>5.  This edition does not re-arrange the grid automatically; to generate a fresh layout, use the .xlsm or the browser app.</t>
  </si>
  <si>
    <t>3.  THE PLANNER SHEET  -  FIELD BY FIELD</t>
  </si>
  <si>
    <t>Configuration box (top-left)</t>
  </si>
  <si>
    <t>•  Number of Rows  (C5):  10 or 14  -  how many rows the car has / you want filled.</t>
  </si>
  <si>
    <t>•  Row Capacity (ft)  (C6):  72  -  fixed target length per row. Leave at 72.</t>
  </si>
  <si>
    <t>•  Single prod/grade?  (C7):  Yes or No  -  toggles single vs mixed mode (section 4).</t>
  </si>
  <si>
    <t>Single Product / Grade box (top-right)</t>
  </si>
  <si>
    <t>•  Product (all rows)  (G5):  the one product used when in single mode (e.g. 2x6).</t>
  </si>
  <si>
    <t>•  Grade (all rows)  (G6):  the one grade used when in single mode (e.g. 2).</t>
  </si>
  <si>
    <t>Lumber Inventory  -  line-item tally (rows 10-29)</t>
  </si>
  <si>
    <t>You fill in: Length (col C) and Packs (col E). In MIXED mode you also fill Product (col B) and Grade (col D).</t>
  </si>
  <si>
    <t>In SINGLE mode, Product (B) and Grade (D) AUTO-FILL from G5/G6 and show greyed - you only enter Length + Packs.</t>
  </si>
  <si>
    <t>Computed automatically (do not edit):  Lineal (F) = Packs × Length   •  Placed (G) = packs found in the grid   •  Remain (H) = packs not yet placed.</t>
  </si>
  <si>
    <t>Row 30 (TOTAL) sums Packs, Lineal, Placed and Remain across all lines.</t>
  </si>
  <si>
    <t>Layout Grid (rows 33-47)</t>
  </si>
  <si>
    <t>Shows the loaded car: one pack per slot, up to 9 slots (P1-P9) per row, each row totaling exactly 72 ft.</t>
  </si>
  <si>
    <t>Each filled slot shows the pack code  product-length-grade  (for example 2x6-16-2).</t>
  </si>
  <si>
    <t>Column K (Total) = sum of lengths in the row. Column L (Check) = OK 72 when the row is exactly 72 ft, or shows it as unused.</t>
  </si>
  <si>
    <t>In the .xlsx the grid is static text (a pre-solved example). Editing the inventory does NOT re-solve it - use the .xlsm or browser app to produce a new grid, or type pack codes in by hand.</t>
  </si>
  <si>
    <t>Load Status box (J9:L17)</t>
  </si>
  <si>
    <t>•  Total Lineal Ft / Car Capacity / Difference  -  total lumber vs car capacity (rows × 72).</t>
  </si>
  <si>
    <t>•  Rows Needed / Rows OK (=72)  -  rows the lumber needs vs rows that are exactly 72.</t>
  </si>
  <si>
    <t>•  Packs Placed / Packs Unplaced  -  placement tally (compares inventory to the grid).</t>
  </si>
  <si>
    <t>•  STATUS  -  overall verdict, for example PERFECT all 10 rows = 72 ft.</t>
  </si>
  <si>
    <t>4.  SINGLE vs MIXED MODE</t>
  </si>
  <si>
    <t>Single product/grade  (C7 = Yes)  -  most cars</t>
  </si>
  <si>
    <t>Set Product (G5) and Grade (G6) once. The Product (B) and Grade (D) columns auto-fill from those for every line that has a Length or Packs, and appear greyed to show they are auto-filled. You only enter Length + Packs.</t>
  </si>
  <si>
    <t>Mixed  (C7 = No)</t>
  </si>
  <si>
    <t>The auto-fill formulas blank out; type Product and Grade on each line yourself (dropdowns provided).</t>
  </si>
  <si>
    <t>No-macro note: typing into a Product/Grade cell replaces its auto-fill formula. Switching that cell back to auto-fill is not automatic in the .xlsx - clear the line and re-enter, or use the .xlsm for seamless single/mixed switching.</t>
  </si>
  <si>
    <t>5.  NO MACRO BUTTONS IN THIS EDITION</t>
  </si>
  <si>
    <t>A .xlsx cannot run macros, so there are no Solve Layout / Clear Grid / Clear All buttons.</t>
  </si>
  <si>
    <t>•  To auto-solve a layout from your inventory: use the macro workbook (.xlsm) or the browser app.</t>
  </si>
  <si>
    <t>•  To clear by hand: select the grid (B34:J47) or the line items (C10:E29) and press Delete.</t>
  </si>
  <si>
    <t>6.  READING THE COLORS  (legend at bottom of Planner, rows 49-51)</t>
  </si>
  <si>
    <t>•  FILL color   = LENGTH    (8, 10, 12, 14, 16, 18, 20 ft each have a color)</t>
  </si>
  <si>
    <t>•  BORDER color = PRODUCT   (2x4, 2x6, 2x8, 2x10, 4x4, 4x6, 6x6)</t>
  </si>
  <si>
    <t>•  TEXT color   = GRADE     (1, 2, 3, 4, 2P, MSR)</t>
  </si>
  <si>
    <t>The bottom legend (rows 49-51) is the authoritative color key.</t>
  </si>
  <si>
    <t>7.  MANIFEST SHEET</t>
  </si>
  <si>
    <t>Built from the Planner: a Car Layout grid, Summary by Product, Summary by Grade, and a Placed Packs (Product × Grade) matrix. Print in LANDSCAPE for a clean one-page loading sheet.</t>
  </si>
  <si>
    <t>8.  PATTERN LIBRARY SHEET</t>
  </si>
  <si>
    <t>Reference list of every length combination that sums to exactly 72 ft  -  handy for hand-checking or planning a mix.</t>
  </si>
  <si>
    <t>9.  HOW THE SOLVER WORKS  (runs in the .xlsm / browser app)</t>
  </si>
  <si>
    <t>1. Length partition  -  enumerates every set of lengths that sums to 72 ft, favoring simple repeatable rows, then picks one pattern per row so per-length pack counts match inventory exactly.</t>
  </si>
  <si>
    <t>2. Column stacking  -  orders rows so identical rows are adjacent and longest packs sit left, lining up like sizes in columns.</t>
  </si>
  <si>
    <t>3. Product + grade assignment  -  deals packs into each length slot grouped by product then grade. This .xlsx shows the result; it does not run the solver itself.</t>
  </si>
  <si>
    <t>10.  TIPS &amp; TROUBLESHOOTING</t>
  </si>
  <si>
    <t>•  Single mode shows blank Product/Grade: make sure Product (G5) is set, and that the line has a Length or Packs entered.</t>
  </si>
  <si>
    <t>•  The grid did not change after I edited inventory: correct - the .xlsx does not re-solve. Use the .xlsm or browser app to generate a new grid.</t>
  </si>
  <si>
    <t>•  Status shows OVERLOADED/unplaced: the inventory and the static grid no longer match. Re-solve in the .xlsm/app, or align them by hand.</t>
  </si>
  <si>
    <t>Centerbeam Lumber Layout Planner   •   GPL-3.0   •   macro-free .xlsx edition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</si>
</sst>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6" x14ac:knownFonts="1">
    <font>
      <sz val="11"/>
      <color theme="1"/>
      <name val="Calibri"/>
      <family val="2"/>
      <charset val="1"/>
    </font>
    <font>
      <b/>
      <sz val="15"/>
      <color rgb="FF2E5E20"/>
      <name val="Arial"/>
      <charset val="1"/>
    </font>
    <font>
      <i/>
      <sz val="9"/>
      <color rgb="FF666666"/>
      <name val="Arial"/>
      <charset val="1"/>
    </font>
    <font>
      <b/>
      <sz val="10"/>
      <color rgb="FFFFFFFF"/>
      <name val="Arial"/>
      <charset val="1"/>
    </font>
    <font>
      <b/>
      <sz val="11"/>
      <name val="Arial"/>
      <charset val="1"/>
    </font>
    <font>
      <b/>
      <sz val="11"/>
      <color rgb="FF0000FF"/>
      <name val="Arial"/>
      <charset val="1"/>
    </font>
    <font>
      <sz val="11"/>
      <name val="Arial"/>
      <charset val="1"/>
    </font>
    <font>
      <b/>
      <sz val="9"/>
      <color rgb="FFFFFFFF"/>
      <name val="Arial"/>
      <charset val="1"/>
    </font>
    <font>
      <sz val="8"/>
      <color rgb="FF999999"/>
      <name val="Arial"/>
      <charset val="1"/>
    </font>
    <font>
      <sz val="11"/>
      <color rgb="FF0000FF"/>
      <name val="Arial"/>
      <charset val="1"/>
    </font>
    <font>
      <b/>
      <sz val="10"/>
      <name val="Arial"/>
      <charset val="1"/>
    </font>
    <font>
      <b/>
      <sz val="11"/>
      <color rgb="FF2E5E20"/>
      <name val="Arial"/>
      <charset val="1"/>
    </font>
    <font>
      <b/>
      <sz val="8"/>
      <color rgb="FFFFFFFF"/>
      <name val="Arial"/>
      <charset val="1"/>
    </font>
    <font>
      <b/>
      <sz val="9"/>
      <color rgb="FF666666"/>
      <name val="Arial"/>
      <charset val="1"/>
    </font>
    <font>
      <b/>
      <sz val="9"/>
      <color rgb="FF333333"/>
      <name val="Arial"/>
      <charset val="1"/>
    </font>
    <font>
      <i/>
      <sz val="11"/>
      <color rgb="FF999999"/>
      <name val="Arial"/>
      <charset val="1"/>
    </font>
    <font>
      <b/>
      <sz val="11"/>
      <color rgb="FFFFFFFF"/>
      <name val="Arial"/>
      <charset val="1"/>
    </font>
    <font>
      <b/>
      <sz val="11"/>
      <color rgb="FF1A7A1A"/>
      <name val="Arial"/>
      <charset val="1"/>
    </font>
    <font>
      <b/>
      <sz val="11"/>
      <color rgb="FF2A5AAA"/>
      <name val="Arial"/>
      <charset val="1"/>
    </font>
    <font>
      <b/>
      <sz val="11"/>
      <color rgb="FFD08020"/>
      <name val="Arial"/>
      <charset val="1"/>
    </font>
    <font>
      <b/>
      <sz val="11"/>
      <color rgb="FFC03020"/>
      <name val="Arial"/>
      <charset val="1"/>
    </font>
    <font>
      <b/>
      <sz val="11"/>
      <color rgb="FF7A3AA0"/>
      <name val="Arial"/>
      <charset val="1"/>
    </font>
    <font>
      <b/>
      <sz val="11"/>
      <color rgb="FF0A8A8A"/>
      <name val="Arial"/>
      <charset val="1"/>
    </font>
    <font>
      <b/>
      <sz val="9"/>
      <color rgb="FF1A7A1A"/>
      <name val="Arial"/>
      <charset val="1"/>
    </font>
    <font>
      <b/>
      <sz val="9"/>
      <color rgb="FF2A5AAA"/>
      <name val="Arial"/>
      <charset val="1"/>
    </font>
    <font>
      <b/>
      <sz val="9"/>
      <color rgb="FFD08020"/>
      <name val="Arial"/>
      <charset val="1"/>
    </font>
    <font>
      <b/>
      <sz val="9"/>
      <color rgb="FFC03020"/>
      <name val="Arial"/>
      <charset val="1"/>
    </font>
    <font>
      <b/>
      <sz val="9"/>
      <color rgb="FF7A3AA0"/>
      <name val="Arial"/>
      <charset val="1"/>
    </font>
    <font>
      <b/>
      <sz val="9"/>
      <color rgb="FF0A8A8A"/>
      <name val="Arial"/>
      <charset val="1"/>
    </font>
    <font>
      <b/>
      <sz val="14"/>
      <color rgb="FF2E5E20"/>
      <name val="Arial"/>
      <charset val="1"/>
    </font>
    <font>
      <sz val="10"/>
      <name val="Arial"/>
      <charset val="1"/>
    </font>
    <font>
      <sz val="9"/>
      <color rgb="FF1A1A1A"/>
      <name val="Consolas"/>
      <charset val="1"/>
    </font>
    <font>
      <sz val="11"/>
      <color theme="1"/>
      <name val="Arial"/>
      <family val="2"/>
    </font>
    <font>
      <b/>
      <sz val="18"/>
      <color rgb="FF1F4E79"/>
      <name val="Arial"/>
      <family val="2"/>
    </font>
    <font>
      <i/>
      <sz val="11"/>
      <color rgb="FF595959"/>
      <name val="Arial"/>
      <family val="2"/>
    </font>
    <font>
      <b/>
      <sz val="12"/>
      <color rgb="FFFFFFFF"/>
      <name val="Arial"/>
      <family val="2"/>
    </font>
    <font>
      <i/>
      <sz val="10"/>
      <color rgb="FF595959"/>
      <name val="Arial"/>
      <family val="2"/>
    </font>
    <font>
      <b/>
      <sz val="11"/>
      <color rgb="FF1F4E79"/>
      <name val="Arial"/>
      <family val="2"/>
    </font>
    <font>
      <b/>
      <sz val="9"/>
      <color rgb="FF33414F"/>
      <name val="Arial"/>
      <charset val="1"/>
    </font>
    <font>
      <b/>
      <sz val="9"/>
      <color rgb="FF357A48"/>
      <name val="Arial"/>
      <charset val="1"/>
    </font>
    <font>
      <b/>
      <sz val="9"/>
      <color rgb="FF3A66A0"/>
      <name val="Arial"/>
      <charset val="1"/>
    </font>
    <font>
      <b/>
      <sz val="9"/>
      <color rgb="FFB06A16"/>
      <name val="Arial"/>
      <charset val="1"/>
    </font>
    <font>
      <b/>
      <sz val="9"/>
      <color rgb="FFB5453A"/>
      <name val="Arial"/>
      <charset val="1"/>
    </font>
    <font>
      <b/>
      <sz val="9"/>
      <color rgb="FF7E4FA6"/>
      <name val="Arial"/>
      <charset val="1"/>
    </font>
    <font>
      <b/>
      <sz val="9"/>
      <color rgb="FF2A8585"/>
      <name val="Arial"/>
      <charset val="1"/>
    </font>
    <font>
      <b/>
      <sz val="11"/>
      <color rgb="FF33414F"/>
      <name val="Arial"/>
      <charset val="1"/>
    </font>
  </fonts>
  <fills count="23">
    <fill>
      <patternFill patternType="none"/>
    </fill>
    <fill>
      <patternFill patternType="gray125"/>
    </fill>
    <fill>
      <patternFill patternType="solid">
        <fgColor rgb="FF222820"/>
        <bgColor rgb="FF2B3126"/>
      </patternFill>
    </fill>
    <fill>
      <patternFill patternType="solid">
        <fgColor rgb="FFFFFF99"/>
        <bgColor rgb="FFFBE6C0"/>
      </patternFill>
    </fill>
    <fill>
      <patternFill patternType="solid">
        <fgColor rgb="FF2B3126"/>
        <bgColor rgb="FF333333"/>
      </patternFill>
    </fill>
    <fill>
      <patternFill patternType="solid">
        <fgColor rgb="FF555555"/>
        <bgColor rgb="FF666666"/>
      </patternFill>
    </fill>
    <fill>
      <patternFill patternType="solid">
        <fgColor rgb="FFF2F2F2"/>
        <bgColor rgb="FFEDEDED"/>
      </patternFill>
    </fill>
    <fill>
      <patternFill patternType="solid">
        <fgColor rgb="FF1F4E79"/>
        <bgColor indexed="64"/>
      </patternFill>
    </fill>
    <fill>
      <patternFill patternType="solid">
        <fgColor rgb="FFBBD4EA"/>
        <bgColor rgb="FF3A7CB8"/>
      </patternFill>
    </fill>
    <fill>
      <patternFill patternType="solid">
        <fgColor rgb="FFC2E5C9"/>
        <bgColor rgb="FF2E7A6E"/>
      </patternFill>
    </fill>
    <fill>
      <patternFill patternType="solid">
        <fgColor rgb="FFFBE7B2"/>
        <bgColor rgb="FF6B4A2F"/>
      </patternFill>
    </fill>
    <fill>
      <patternFill patternType="solid">
        <fgColor rgb="FFE5CDEE"/>
        <bgColor rgb="FF7A3AA0"/>
      </patternFill>
    </fill>
    <fill>
      <patternFill patternType="solid">
        <fgColor rgb="FFFAC4BC"/>
        <bgColor rgb="FF6B4A2F"/>
      </patternFill>
    </fill>
    <fill>
      <patternFill patternType="solid">
        <fgColor rgb="FFBFEAE0"/>
        <bgColor rgb="FF2E7A5E"/>
      </patternFill>
    </fill>
    <fill>
      <patternFill patternType="solid">
        <fgColor rgb="FFDCE7AE"/>
        <bgColor rgb="FF2E5E20"/>
      </patternFill>
    </fill>
    <fill>
      <patternFill patternType="solid">
        <fgColor rgb="FF6F9AC4"/>
        <bgColor rgb="FF3A6E9E"/>
      </patternFill>
    </fill>
    <fill>
      <patternFill patternType="solid">
        <fgColor rgb="FF66B083"/>
        <bgColor rgb="FF2E7A5E"/>
      </patternFill>
    </fill>
    <fill>
      <patternFill patternType="solid">
        <fgColor rgb="FFD9B25C"/>
        <bgColor rgb="FFD08020"/>
      </patternFill>
    </fill>
    <fill>
      <patternFill patternType="solid">
        <fgColor rgb="FFA07EBE"/>
        <bgColor rgb="FF7A3AA0"/>
      </patternFill>
    </fill>
    <fill>
      <patternFill patternType="solid">
        <fgColor rgb="FFD6857A"/>
        <bgColor rgb="FFC03020"/>
      </patternFill>
    </fill>
    <fill>
      <patternFill patternType="solid">
        <fgColor rgb="FF5FB3AC"/>
        <bgColor rgb="FF2E7A6E"/>
      </patternFill>
    </fill>
    <fill>
      <patternFill patternType="solid">
        <fgColor rgb="FFA98A66"/>
        <bgColor rgb="FF7A5E2E"/>
      </patternFill>
    </fill>
    <fill>
      <patternFill patternType="solid">
        <fgColor rgb="FFFFFFFF"/>
        <bgColor rgb="FF666666"/>
      </patternFill>
    </fill>
  </fills>
  <borders count="2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ck">
        <color rgb="FF3A7CB8"/>
      </left>
      <right style="thick">
        <color rgb="FF3A7CB8"/>
      </right>
      <top style="thick">
        <color rgb="FF3A7CB8"/>
      </top>
      <bottom style="thick">
        <color rgb="FF3A7CB8"/>
      </bottom>
      <diagonal/>
    </border>
    <border>
      <left style="thick">
        <color rgb="FF3D8A4F"/>
      </left>
      <right style="thick">
        <color rgb="FF3D8A4F"/>
      </right>
      <top style="thick">
        <color rgb="FF3D8A4F"/>
      </top>
      <bottom style="thick">
        <color rgb="FF3D8A4F"/>
      </bottom>
      <diagonal/>
    </border>
    <border>
      <left style="thick">
        <color rgb="FFC8892A"/>
      </left>
      <right style="thick">
        <color rgb="FFC8892A"/>
      </right>
      <top style="thick">
        <color rgb="FFC8892A"/>
      </top>
      <bottom style="thick">
        <color rgb="FFC8892A"/>
      </bottom>
      <diagonal/>
    </border>
    <border>
      <left style="thick">
        <color rgb="FF7A4FA0"/>
      </left>
      <right style="thick">
        <color rgb="FF7A4FA0"/>
      </right>
      <top style="thick">
        <color rgb="FF7A4FA0"/>
      </top>
      <bottom style="thick">
        <color rgb="FF7A4FA0"/>
      </bottom>
      <diagonal/>
    </border>
    <border>
      <left style="thick">
        <color rgb="FFB0473C"/>
      </left>
      <right style="thick">
        <color rgb="FFB0473C"/>
      </right>
      <top style="thick">
        <color rgb="FFB0473C"/>
      </top>
      <bottom style="thick">
        <color rgb="FFB0473C"/>
      </bottom>
      <diagonal/>
    </border>
    <border>
      <left style="thick">
        <color rgb="FF2E8A8A"/>
      </left>
      <right style="thick">
        <color rgb="FF2E8A8A"/>
      </right>
      <top style="thick">
        <color rgb="FF2E8A8A"/>
      </top>
      <bottom style="thick">
        <color rgb="FF2E8A8A"/>
      </bottom>
      <diagonal/>
    </border>
    <border>
      <left style="thick">
        <color rgb="FF6B4A2F"/>
      </left>
      <right style="thick">
        <color rgb="FF6B4A2F"/>
      </right>
      <top style="thick">
        <color rgb="FF6B4A2F"/>
      </top>
      <bottom style="thick">
        <color rgb="FF6B4A2F"/>
      </bottom>
      <diagonal/>
    </border>
    <border>
      <left style="medium">
        <color rgb="FF1A7A1A"/>
      </left>
      <right style="medium">
        <color rgb="FF1A7A1A"/>
      </right>
      <top style="medium">
        <color rgb="FF1A7A1A"/>
      </top>
      <bottom style="medium">
        <color rgb="FF1A7A1A"/>
      </bottom>
      <diagonal/>
    </border>
    <border>
      <left style="medium">
        <color rgb="FF2A5AAA"/>
      </left>
      <right style="medium">
        <color rgb="FF2A5AAA"/>
      </right>
      <top style="medium">
        <color rgb="FF2A5AAA"/>
      </top>
      <bottom style="medium">
        <color rgb="FF2A5AAA"/>
      </bottom>
      <diagonal/>
    </border>
    <border>
      <left style="medium">
        <color rgb="FFD08020"/>
      </left>
      <right style="medium">
        <color rgb="FFD08020"/>
      </right>
      <top style="medium">
        <color rgb="FFD08020"/>
      </top>
      <bottom style="medium">
        <color rgb="FFD08020"/>
      </bottom>
      <diagonal/>
    </border>
    <border>
      <left style="medium">
        <color rgb="FFC03020"/>
      </left>
      <right style="medium">
        <color rgb="FFC03020"/>
      </right>
      <top style="medium">
        <color rgb="FFC03020"/>
      </top>
      <bottom style="medium">
        <color rgb="FFC03020"/>
      </bottom>
      <diagonal/>
    </border>
    <border>
      <left style="medium">
        <color rgb="FF7A3AA0"/>
      </left>
      <right style="medium">
        <color rgb="FF7A3AA0"/>
      </right>
      <top style="medium">
        <color rgb="FF7A3AA0"/>
      </top>
      <bottom style="medium">
        <color rgb="FF7A3AA0"/>
      </bottom>
      <diagonal/>
    </border>
    <border>
      <left style="medium">
        <color rgb="FF0A8A8A"/>
      </left>
      <right style="medium">
        <color rgb="FF0A8A8A"/>
      </right>
      <top style="medium">
        <color rgb="FF0A8A8A"/>
      </top>
      <bottom style="medium">
        <color rgb="FF0A8A8A"/>
      </bottom>
      <diagonal/>
    </border>
    <border>
      <left style="thick">
        <color rgb="FF6F9AC4"/>
      </left>
      <right style="thick">
        <color rgb="FF6F9AC4"/>
      </right>
      <top style="thick">
        <color rgb="FF6F9AC4"/>
      </top>
      <bottom style="thick">
        <color rgb="FF6F9AC4"/>
      </bottom>
      <diagonal/>
    </border>
    <border>
      <left style="thick">
        <color rgb="FF66B083"/>
      </left>
      <right style="thick">
        <color rgb="FF66B083"/>
      </right>
      <top style="thick">
        <color rgb="FF66B083"/>
      </top>
      <bottom style="thick">
        <color rgb="FF66B083"/>
      </bottom>
      <diagonal/>
    </border>
    <border>
      <left style="thick">
        <color rgb="FFD9B25C"/>
      </left>
      <right style="thick">
        <color rgb="FFD9B25C"/>
      </right>
      <top style="thick">
        <color rgb="FFD9B25C"/>
      </top>
      <bottom style="thick">
        <color rgb="FFD9B25C"/>
      </bottom>
      <diagonal/>
    </border>
    <border>
      <left style="thick">
        <color rgb="FFA07EBE"/>
      </left>
      <right style="thick">
        <color rgb="FFA07EBE"/>
      </right>
      <top style="thick">
        <color rgb="FFA07EBE"/>
      </top>
      <bottom style="thick">
        <color rgb="FFA07EBE"/>
      </bottom>
      <diagonal/>
    </border>
    <border>
      <left style="thick">
        <color rgb="FFD6857A"/>
      </left>
      <right style="thick">
        <color rgb="FFD6857A"/>
      </right>
      <top style="thick">
        <color rgb="FFD6857A"/>
      </top>
      <bottom style="thick">
        <color rgb="FFD6857A"/>
      </bottom>
      <diagonal/>
    </border>
    <border>
      <left style="thick">
        <color rgb="FF5FB3AC"/>
      </left>
      <right style="thick">
        <color rgb="FF5FB3AC"/>
      </right>
      <top style="thick">
        <color rgb="FF5FB3AC"/>
      </top>
      <bottom style="thick">
        <color rgb="FF5FB3AC"/>
      </bottom>
      <diagonal/>
    </border>
    <border>
      <left style="thick">
        <color rgb="FFA98A66"/>
      </left>
      <right style="thick">
        <color rgb="FFA98A66"/>
      </right>
      <top style="thick">
        <color rgb="FFA98A66"/>
      </top>
      <bottom style="thick">
        <color rgb="FFA98A66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4" fillId="0" borderId="0" xfId="0" applyFont="1"/>
    <xf numFmtId="0" fontId="5" fillId="3" borderId="1" xfId="0" applyFont="1" applyFill="1" applyBorder="1" applyAlignment="1">
      <alignment horizontal="center" vertical="center"/>
    </xf>
    <xf numFmtId="0" fontId="6" fillId="0" borderId="0" xfId="0" applyFont="1"/>
    <xf numFmtId="0" fontId="6" fillId="0" borderId="1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164" fontId="0" fillId="0" borderId="0" xfId="0" applyNumberFormat="1"/>
    <xf numFmtId="0" fontId="15" fillId="0" borderId="0" xfId="0" applyFont="1"/>
    <xf numFmtId="0" fontId="17" fillId="0" borderId="9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6" fillId="0" borderId="12" xfId="0" applyFont="1" applyBorder="1" applyAlignment="1">
      <alignment horizontal="center" vertical="center"/>
    </xf>
    <xf numFmtId="0" fontId="27" fillId="0" borderId="13" xfId="0" applyFont="1" applyBorder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32" fillId="0" borderId="0" xfId="0" applyFont="1" applyAlignment="1">
      <alignment vertical="top" wrapText="1"/>
    </xf>
    <xf numFmtId="0" fontId="33" fillId="0" borderId="0" xfId="0" applyFont="1" applyAlignment="1">
      <alignment vertical="top" wrapText="1"/>
    </xf>
    <xf numFmtId="0" fontId="34" fillId="0" borderId="0" xfId="0" applyFont="1" applyAlignment="1">
      <alignment vertical="top" wrapText="1"/>
    </xf>
    <xf numFmtId="0" fontId="35" fillId="7" borderId="0" xfId="0" applyFont="1" applyFill="1" applyAlignment="1">
      <alignment vertical="top" wrapText="1"/>
    </xf>
    <xf numFmtId="0" fontId="32" fillId="0" borderId="0" xfId="0" applyFont="1" applyAlignment="1">
      <alignment horizontal="left" vertical="top" wrapText="1" indent="1"/>
    </xf>
    <xf numFmtId="0" fontId="36" fillId="0" borderId="0" xfId="0" applyFont="1" applyAlignment="1">
      <alignment horizontal="left" vertical="top" wrapText="1" indent="1"/>
    </xf>
    <xf numFmtId="0" fontId="37" fillId="0" borderId="0" xfId="0" applyFont="1" applyAlignment="1">
      <alignment vertical="top" wrapText="1"/>
    </xf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2" borderId="0" xfId="0" applyFont="1" applyFill="1"/>
    <xf numFmtId="0" fontId="10" fillId="0" borderId="0" xfId="0" applyFont="1"/>
    <xf numFmtId="0" fontId="10" fillId="0" borderId="1" xfId="0" applyFont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0" fontId="1" fillId="0" borderId="0" xfId="0" applyFont="1"/>
    <xf numFmtId="0" fontId="29" fillId="0" borderId="0" xfId="0" applyFont="1"/>
    <xf numFmtId="0" fontId="30" fillId="0" borderId="0" xfId="0" applyFont="1"/>
    <xf numFmtId="0" fontId="31" fillId="6" borderId="0" xfId="0" applyFont="1" applyFill="1"/>
    <xf numFmtId="0" fontId="38" fillId="8" borderId="1" xfId="0" applyFont="1" applyFill="1" applyBorder="1" applyAlignment="1">
      <alignment horizontal="center" vertical="center"/>
    </xf>
    <xf numFmtId="0" fontId="38" fillId="9" borderId="1" xfId="0" applyFont="1" applyFill="1" applyBorder="1" applyAlignment="1">
      <alignment horizontal="center" vertical="center"/>
    </xf>
    <xf numFmtId="0" fontId="38" fillId="10" borderId="1" xfId="0" applyFont="1" applyFill="1" applyBorder="1" applyAlignment="1">
      <alignment horizontal="center" vertical="center"/>
    </xf>
    <xf numFmtId="0" fontId="38" fillId="11" borderId="1" xfId="0" applyFont="1" applyFill="1" applyBorder="1" applyAlignment="1">
      <alignment horizontal="center" vertical="center"/>
    </xf>
    <xf numFmtId="0" fontId="38" fillId="12" borderId="1" xfId="0" applyFont="1" applyFill="1" applyBorder="1" applyAlignment="1">
      <alignment horizontal="center" vertical="center"/>
    </xf>
    <xf numFmtId="0" fontId="38" fillId="13" borderId="1" xfId="0" applyFont="1" applyFill="1" applyBorder="1" applyAlignment="1">
      <alignment horizontal="center" vertical="center"/>
    </xf>
    <xf numFmtId="0" fontId="38" fillId="14" borderId="1" xfId="0" applyFont="1" applyFill="1" applyBorder="1" applyAlignment="1">
      <alignment horizontal="center" vertical="center"/>
    </xf>
    <xf numFmtId="0" fontId="39" fillId="5" borderId="1" xfId="0" applyFont="1" applyFill="1" applyBorder="1" applyAlignment="1">
      <alignment horizontal="center" vertical="center"/>
    </xf>
    <xf numFmtId="0" fontId="40" fillId="5" borderId="1" xfId="0" applyFont="1" applyFill="1" applyBorder="1" applyAlignment="1">
      <alignment horizontal="center" vertical="center"/>
    </xf>
    <xf numFmtId="0" fontId="41" fillId="5" borderId="1" xfId="0" applyFont="1" applyFill="1" applyBorder="1" applyAlignment="1">
      <alignment horizontal="center" vertical="center"/>
    </xf>
    <xf numFmtId="0" fontId="42" fillId="5" borderId="1" xfId="0" applyFont="1" applyFill="1" applyBorder="1" applyAlignment="1">
      <alignment horizontal="center" vertical="center"/>
    </xf>
    <xf numFmtId="0" fontId="43" fillId="5" borderId="1" xfId="0" applyFont="1" applyFill="1" applyBorder="1" applyAlignment="1">
      <alignment horizontal="center" vertical="center"/>
    </xf>
    <xf numFmtId="0" fontId="44" fillId="5" borderId="1" xfId="0" applyFont="1" applyFill="1" applyBorder="1" applyAlignment="1">
      <alignment horizontal="center" vertical="center"/>
    </xf>
    <xf numFmtId="0" fontId="16" fillId="15" borderId="1" xfId="0" applyFont="1" applyFill="1" applyBorder="1" applyAlignment="1">
      <alignment horizontal="center" vertical="center"/>
    </xf>
    <xf numFmtId="0" fontId="16" fillId="16" borderId="1" xfId="0" applyFont="1" applyFill="1" applyBorder="1" applyAlignment="1">
      <alignment horizontal="center" vertical="center"/>
    </xf>
    <xf numFmtId="0" fontId="16" fillId="17" borderId="1" xfId="0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center" vertical="center"/>
    </xf>
    <xf numFmtId="0" fontId="16" fillId="19" borderId="1" xfId="0" applyFont="1" applyFill="1" applyBorder="1" applyAlignment="1">
      <alignment horizontal="center" vertical="center"/>
    </xf>
    <xf numFmtId="0" fontId="16" fillId="20" borderId="1" xfId="0" applyFont="1" applyFill="1" applyBorder="1" applyAlignment="1">
      <alignment horizontal="center" vertical="center"/>
    </xf>
    <xf numFmtId="0" fontId="16" fillId="21" borderId="1" xfId="0" applyFont="1" applyFill="1" applyBorder="1" applyAlignment="1">
      <alignment horizontal="center" vertical="center"/>
    </xf>
    <xf numFmtId="0" fontId="45" fillId="10" borderId="1" xfId="0" applyFont="1" applyFill="1" applyBorder="1" applyAlignment="1">
      <alignment horizontal="center" vertical="center"/>
    </xf>
    <xf numFmtId="0" fontId="45" fillId="14" borderId="1" xfId="0" applyFont="1" applyFill="1" applyBorder="1" applyAlignment="1">
      <alignment horizontal="center" vertical="center"/>
    </xf>
    <xf numFmtId="0" fontId="45" fillId="11" borderId="1" xfId="0" applyFont="1" applyFill="1" applyBorder="1" applyAlignment="1">
      <alignment horizontal="center" vertical="center"/>
    </xf>
    <xf numFmtId="0" fontId="45" fillId="13" borderId="1" xfId="0" applyFont="1" applyFill="1" applyBorder="1" applyAlignment="1">
      <alignment horizontal="center" vertical="center"/>
    </xf>
    <xf numFmtId="0" fontId="45" fillId="12" borderId="1" xfId="0" applyFont="1" applyFill="1" applyBorder="1" applyAlignment="1">
      <alignment horizontal="center" vertical="center"/>
    </xf>
    <xf numFmtId="0" fontId="45" fillId="8" borderId="1" xfId="0" applyFont="1" applyFill="1" applyBorder="1" applyAlignment="1">
      <alignment horizontal="center" vertical="center"/>
    </xf>
    <xf numFmtId="0" fontId="45" fillId="9" borderId="1" xfId="0" applyFont="1" applyFill="1" applyBorder="1" applyAlignment="1">
      <alignment horizontal="center" vertical="center"/>
    </xf>
    <xf numFmtId="0" fontId="14" fillId="0" borderId="15" xfId="0" applyFont="1" applyFill="1" applyBorder="1" applyAlignment="1">
      <alignment horizontal="center" vertical="center"/>
    </xf>
    <xf numFmtId="0" fontId="14" fillId="0" borderId="16" xfId="0" applyFont="1" applyFill="1" applyBorder="1" applyAlignment="1">
      <alignment horizontal="center" vertical="center"/>
    </xf>
    <xf numFmtId="0" fontId="14" fillId="0" borderId="17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14" fillId="0" borderId="19" xfId="0" applyFont="1" applyFill="1" applyBorder="1" applyAlignment="1">
      <alignment horizontal="center" vertical="center"/>
    </xf>
    <xf numFmtId="0" fontId="14" fillId="0" borderId="20" xfId="0" applyFont="1" applyFill="1" applyBorder="1" applyAlignment="1">
      <alignment horizontal="center" vertical="center"/>
    </xf>
    <xf numFmtId="0" fontId="14" fillId="0" borderId="21" xfId="0" applyFont="1" applyFill="1" applyBorder="1" applyAlignment="1">
      <alignment horizontal="center" vertical="center"/>
    </xf>
    <xf numFmtId="0" fontId="39" fillId="22" borderId="1" xfId="0" applyFont="1" applyFill="1" applyBorder="1" applyAlignment="1">
      <alignment horizontal="center" vertical="center"/>
    </xf>
    <xf numFmtId="0" fontId="40" fillId="22" borderId="1" xfId="0" applyFont="1" applyFill="1" applyBorder="1" applyAlignment="1">
      <alignment horizontal="center" vertical="center"/>
    </xf>
    <xf numFmtId="0" fontId="41" fillId="22" borderId="1" xfId="0" applyFont="1" applyFill="1" applyBorder="1" applyAlignment="1">
      <alignment horizontal="center" vertical="center"/>
    </xf>
    <xf numFmtId="0" fontId="42" fillId="22" borderId="1" xfId="0" applyFont="1" applyFill="1" applyBorder="1" applyAlignment="1">
      <alignment horizontal="center" vertical="center"/>
    </xf>
    <xf numFmtId="0" fontId="43" fillId="22" borderId="1" xfId="0" applyFont="1" applyFill="1" applyBorder="1" applyAlignment="1">
      <alignment horizontal="center" vertical="center"/>
    </xf>
    <xf numFmtId="0" fontId="44" fillId="22" borderId="1" xfId="0" applyFont="1" applyFill="1" applyBorder="1" applyAlignment="1">
      <alignment horizontal="center" vertical="center"/>
    </xf>
  </cellXfs>
  <cellStyles count="1">
    <cellStyle name="Normal" xfId="0" builtinId="0"/>
  </cellStyles>
  <dxfs count="73">
    <dxf>
      <font>
        <b/>
        <color rgb="FF2A8585"/>
        <name val="Arial"/>
        <charset val="1"/>
      </font>
    </dxf>
    <dxf>
      <font>
        <b/>
        <color rgb="FF7E4FA6"/>
        <name val="Arial"/>
        <charset val="1"/>
      </font>
    </dxf>
    <dxf>
      <font>
        <b/>
        <color rgb="FFB5453A"/>
        <name val="Arial"/>
        <charset val="1"/>
      </font>
    </dxf>
    <dxf>
      <font>
        <b/>
        <color rgb="FFB06A16"/>
        <name val="Arial"/>
        <charset val="1"/>
      </font>
    </dxf>
    <dxf>
      <font>
        <b/>
        <color rgb="FF3A66A0"/>
        <name val="Arial"/>
        <charset val="1"/>
      </font>
    </dxf>
    <dxf>
      <font>
        <b/>
        <color rgb="FF357A48"/>
        <name val="Arial"/>
        <charset val="1"/>
      </font>
    </dxf>
    <dxf>
      <font>
        <b/>
        <color rgb="FF333333"/>
        <name val="Arial"/>
        <charset val="1"/>
      </font>
      <border diagonalUp="0" diagonalDown="0">
        <left style="thick">
          <color rgb="FFA98A66"/>
        </left>
        <right style="thick">
          <color rgb="FFA98A66"/>
        </right>
        <top style="thick">
          <color rgb="FFA98A66"/>
        </top>
        <bottom style="thick">
          <color rgb="FFA98A66"/>
        </bottom>
      </border>
    </dxf>
    <dxf>
      <font>
        <b/>
        <color rgb="FF333333"/>
        <name val="Arial"/>
        <charset val="1"/>
      </font>
      <border diagonalUp="0" diagonalDown="0">
        <left style="thick">
          <color rgb="FF5FB3AC"/>
        </left>
        <right style="thick">
          <color rgb="FF5FB3AC"/>
        </right>
        <top style="thick">
          <color rgb="FF5FB3AC"/>
        </top>
        <bottom style="thick">
          <color rgb="FF5FB3AC"/>
        </bottom>
      </border>
    </dxf>
    <dxf>
      <font>
        <b/>
        <color rgb="FF333333"/>
        <name val="Arial"/>
        <charset val="1"/>
      </font>
      <border diagonalUp="0" diagonalDown="0">
        <left style="thick">
          <color rgb="FFD6857A"/>
        </left>
        <right style="thick">
          <color rgb="FFD6857A"/>
        </right>
        <top style="thick">
          <color rgb="FFD6857A"/>
        </top>
        <bottom style="thick">
          <color rgb="FFD6857A"/>
        </bottom>
      </border>
    </dxf>
    <dxf>
      <font>
        <b/>
        <color rgb="FF333333"/>
        <name val="Arial"/>
        <charset val="1"/>
      </font>
      <border diagonalUp="0" diagonalDown="0">
        <left style="thick">
          <color rgb="FFA07EBE"/>
        </left>
        <right style="thick">
          <color rgb="FFA07EBE"/>
        </right>
        <top style="thick">
          <color rgb="FFA07EBE"/>
        </top>
        <bottom style="thick">
          <color rgb="FFA07EBE"/>
        </bottom>
      </border>
    </dxf>
    <dxf>
      <font>
        <b/>
        <color rgb="FF333333"/>
        <name val="Arial"/>
        <charset val="1"/>
      </font>
      <border diagonalUp="0" diagonalDown="0">
        <left style="thick">
          <color rgb="FFD9B25C"/>
        </left>
        <right style="thick">
          <color rgb="FFD9B25C"/>
        </right>
        <top style="thick">
          <color rgb="FFD9B25C"/>
        </top>
        <bottom style="thick">
          <color rgb="FFD9B25C"/>
        </bottom>
      </border>
    </dxf>
    <dxf>
      <font>
        <b/>
        <color rgb="FF333333"/>
        <name val="Arial"/>
        <charset val="1"/>
      </font>
      <border diagonalUp="0" diagonalDown="0">
        <left style="thick">
          <color rgb="FF66B083"/>
        </left>
        <right style="thick">
          <color rgb="FF66B083"/>
        </right>
        <top style="thick">
          <color rgb="FF66B083"/>
        </top>
        <bottom style="thick">
          <color rgb="FF66B083"/>
        </bottom>
      </border>
    </dxf>
    <dxf>
      <font>
        <b/>
        <color rgb="FF333333"/>
        <name val="Arial"/>
        <charset val="1"/>
      </font>
      <border diagonalUp="0" diagonalDown="0">
        <left style="thick">
          <color rgb="FF6F9AC4"/>
        </left>
        <right style="thick">
          <color rgb="FF6F9AC4"/>
        </right>
        <top style="thick">
          <color rgb="FF6F9AC4"/>
        </top>
        <bottom style="thick">
          <color rgb="FF6F9AC4"/>
        </bottom>
      </border>
    </dxf>
    <dxf>
      <font>
        <b/>
        <color rgb="FFFFFFFF"/>
        <name val="Arial"/>
        <charset val="1"/>
      </font>
      <fill>
        <patternFill>
          <bgColor rgb="FFBFEAE0"/>
        </patternFill>
      </fill>
    </dxf>
    <dxf>
      <font>
        <b/>
        <color rgb="FFFFFFFF"/>
        <name val="Arial"/>
        <charset val="1"/>
      </font>
      <fill>
        <patternFill>
          <bgColor rgb="FFFAC4BC"/>
        </patternFill>
      </fill>
    </dxf>
    <dxf>
      <font>
        <b/>
        <color rgb="FFFFFFFF"/>
        <name val="Arial"/>
        <charset val="1"/>
      </font>
      <fill>
        <patternFill>
          <bgColor rgb="FFE5CDEE"/>
        </patternFill>
      </fill>
    </dxf>
    <dxf>
      <font>
        <b/>
        <color rgb="FFFFFFFF"/>
        <name val="Arial"/>
        <charset val="1"/>
      </font>
      <fill>
        <patternFill>
          <bgColor rgb="FFC2E5C9"/>
        </patternFill>
      </fill>
    </dxf>
    <dxf>
      <font>
        <b/>
        <color rgb="FFFFFFFF"/>
        <name val="Arial"/>
        <charset val="1"/>
      </font>
      <fill>
        <patternFill>
          <bgColor rgb="FFBBD4EA"/>
        </patternFill>
      </fill>
    </dxf>
    <dxf>
      <font>
        <b/>
        <color rgb="FFFFFFFF"/>
        <name val="Arial"/>
        <charset val="1"/>
      </font>
      <fill>
        <patternFill>
          <bgColor rgb="FFFBE7B2"/>
        </patternFill>
      </fill>
    </dxf>
    <dxf>
      <font>
        <b/>
        <color rgb="FFFFFFFF"/>
        <name val="Arial"/>
        <charset val="1"/>
      </font>
      <fill>
        <patternFill>
          <bgColor rgb="FFDCE7AE"/>
        </patternFill>
      </fill>
    </dxf>
    <dxf>
      <fill>
        <patternFill>
          <bgColor rgb="FFF2F2F2"/>
        </patternFill>
      </fill>
    </dxf>
    <dxf>
      <font>
        <b/>
        <sz val="8"/>
        <color rgb="FF2A8585"/>
        <name val="Arial"/>
        <charset val="1"/>
      </font>
    </dxf>
    <dxf>
      <font>
        <b/>
        <sz val="8"/>
        <color rgb="FF7E4FA6"/>
        <name val="Arial"/>
        <charset val="1"/>
      </font>
    </dxf>
    <dxf>
      <font>
        <b/>
        <sz val="8"/>
        <color rgb="FFB5453A"/>
        <name val="Arial"/>
        <charset val="1"/>
      </font>
    </dxf>
    <dxf>
      <font>
        <b/>
        <sz val="8"/>
        <color rgb="FFB06A16"/>
        <name val="Arial"/>
        <charset val="1"/>
      </font>
    </dxf>
    <dxf>
      <font>
        <b/>
        <sz val="8"/>
        <color rgb="FF3A66A0"/>
        <name val="Arial"/>
        <charset val="1"/>
      </font>
    </dxf>
    <dxf>
      <font>
        <b/>
        <sz val="8"/>
        <color rgb="FF357A48"/>
        <name val="Arial"/>
        <charset val="1"/>
      </font>
    </dxf>
    <dxf>
      <border diagonalUp="0" diagonalDown="0">
        <left style="thick">
          <color rgb="FFA98A66"/>
        </left>
        <right style="thick">
          <color rgb="FFA98A66"/>
        </right>
        <top style="thick">
          <color rgb="FFA98A66"/>
        </top>
        <bottom style="thick">
          <color rgb="FFA98A66"/>
        </bottom>
      </border>
    </dxf>
    <dxf>
      <border diagonalUp="0" diagonalDown="0">
        <left style="thick">
          <color rgb="FF5FB3AC"/>
        </left>
        <right style="thick">
          <color rgb="FF5FB3AC"/>
        </right>
        <top style="thick">
          <color rgb="FF5FB3AC"/>
        </top>
        <bottom style="thick">
          <color rgb="FF5FB3AC"/>
        </bottom>
      </border>
    </dxf>
    <dxf>
      <border diagonalUp="0" diagonalDown="0">
        <left style="thick">
          <color rgb="FFD6857A"/>
        </left>
        <right style="thick">
          <color rgb="FFD6857A"/>
        </right>
        <top style="thick">
          <color rgb="FFD6857A"/>
        </top>
        <bottom style="thick">
          <color rgb="FFD6857A"/>
        </bottom>
      </border>
    </dxf>
    <dxf>
      <border diagonalUp="0" diagonalDown="0">
        <left style="thick">
          <color rgb="FFA07EBE"/>
        </left>
        <right style="thick">
          <color rgb="FFA07EBE"/>
        </right>
        <top style="thick">
          <color rgb="FFA07EBE"/>
        </top>
        <bottom style="thick">
          <color rgb="FFA07EBE"/>
        </bottom>
      </border>
    </dxf>
    <dxf>
      <border diagonalUp="0" diagonalDown="0">
        <left style="thick">
          <color rgb="FFD9B25C"/>
        </left>
        <right style="thick">
          <color rgb="FFD9B25C"/>
        </right>
        <top style="thick">
          <color rgb="FFD9B25C"/>
        </top>
        <bottom style="thick">
          <color rgb="FFD9B25C"/>
        </bottom>
      </border>
    </dxf>
    <dxf>
      <border diagonalUp="0" diagonalDown="0">
        <left style="thick">
          <color rgb="FF66B083"/>
        </left>
        <right style="thick">
          <color rgb="FF66B083"/>
        </right>
        <top style="thick">
          <color rgb="FF66B083"/>
        </top>
        <bottom style="thick">
          <color rgb="FF66B083"/>
        </bottom>
      </border>
    </dxf>
    <dxf>
      <border diagonalUp="0" diagonalDown="0">
        <left style="thick">
          <color rgb="FF6F9AC4"/>
        </left>
        <right style="thick">
          <color rgb="FF6F9AC4"/>
        </right>
        <top style="thick">
          <color rgb="FF6F9AC4"/>
        </top>
        <bottom style="thick">
          <color rgb="FF6F9AC4"/>
        </bottom>
      </border>
    </dxf>
    <dxf>
      <fill>
        <patternFill>
          <bgColor rgb="FFDCE7AE"/>
        </patternFill>
      </fill>
    </dxf>
    <dxf>
      <fill>
        <patternFill>
          <bgColor rgb="FFBFEAE0"/>
        </patternFill>
      </fill>
    </dxf>
    <dxf>
      <fill>
        <patternFill>
          <bgColor rgb="FFFAC4BC"/>
        </patternFill>
      </fill>
    </dxf>
    <dxf>
      <fill>
        <patternFill>
          <bgColor rgb="FFE5CDEE"/>
        </patternFill>
      </fill>
    </dxf>
    <dxf>
      <fill>
        <patternFill>
          <bgColor rgb="FFFBE7B2"/>
        </patternFill>
      </fill>
    </dxf>
    <dxf>
      <fill>
        <patternFill>
          <bgColor rgb="FFC2E5C9"/>
        </patternFill>
      </fill>
    </dxf>
    <dxf>
      <fill>
        <patternFill>
          <bgColor rgb="FFBBD4EA"/>
        </patternFill>
      </fill>
    </dxf>
    <dxf>
      <fill>
        <patternFill>
          <bgColor rgb="FFF2F2F2"/>
        </patternFill>
      </fill>
    </dxf>
    <dxf>
      <font>
        <b/>
        <sz val="8"/>
        <color rgb="FF2A8585"/>
        <name val="Arial"/>
        <charset val="1"/>
      </font>
    </dxf>
    <dxf>
      <font>
        <b/>
        <sz val="8"/>
        <color rgb="FF7E4FA6"/>
        <name val="Arial"/>
        <charset val="1"/>
      </font>
    </dxf>
    <dxf>
      <font>
        <b/>
        <sz val="8"/>
        <color rgb="FFB5453A"/>
        <name val="Arial"/>
        <charset val="1"/>
      </font>
    </dxf>
    <dxf>
      <font>
        <b/>
        <sz val="8"/>
        <color rgb="FFB06A16"/>
        <name val="Arial"/>
        <charset val="1"/>
      </font>
    </dxf>
    <dxf>
      <font>
        <b/>
        <sz val="8"/>
        <color rgb="FF3A66A0"/>
        <name val="Arial"/>
        <charset val="1"/>
      </font>
    </dxf>
    <dxf>
      <font>
        <b/>
        <sz val="8"/>
        <color rgb="FF357A48"/>
        <name val="Arial"/>
        <charset val="1"/>
      </font>
    </dxf>
    <dxf>
      <border diagonalUp="0" diagonalDown="0">
        <left style="thick">
          <color rgb="FFA98A66"/>
        </left>
        <right style="thick">
          <color rgb="FFA98A66"/>
        </right>
        <top style="thick">
          <color rgb="FFA98A66"/>
        </top>
        <bottom style="thick">
          <color rgb="FFA98A66"/>
        </bottom>
      </border>
    </dxf>
    <dxf>
      <border diagonalUp="0" diagonalDown="0">
        <left style="thick">
          <color rgb="FF5FB3AC"/>
        </left>
        <right style="thick">
          <color rgb="FF5FB3AC"/>
        </right>
        <top style="thick">
          <color rgb="FF5FB3AC"/>
        </top>
        <bottom style="thick">
          <color rgb="FF5FB3AC"/>
        </bottom>
      </border>
    </dxf>
    <dxf>
      <border diagonalUp="0" diagonalDown="0">
        <left style="thick">
          <color rgb="FFD6857A"/>
        </left>
        <right style="thick">
          <color rgb="FFD6857A"/>
        </right>
        <top style="thick">
          <color rgb="FFD6857A"/>
        </top>
        <bottom style="thick">
          <color rgb="FFD6857A"/>
        </bottom>
      </border>
    </dxf>
    <dxf>
      <border diagonalUp="0" diagonalDown="0">
        <left style="thick">
          <color rgb="FFA07EBE"/>
        </left>
        <right style="thick">
          <color rgb="FFA07EBE"/>
        </right>
        <top style="thick">
          <color rgb="FFA07EBE"/>
        </top>
        <bottom style="thick">
          <color rgb="FFA07EBE"/>
        </bottom>
      </border>
    </dxf>
    <dxf>
      <border diagonalUp="0" diagonalDown="0">
        <left style="thick">
          <color rgb="FFD9B25C"/>
        </left>
        <right style="thick">
          <color rgb="FFD9B25C"/>
        </right>
        <top style="thick">
          <color rgb="FFD9B25C"/>
        </top>
        <bottom style="thick">
          <color rgb="FFD9B25C"/>
        </bottom>
      </border>
    </dxf>
    <dxf>
      <border diagonalUp="0" diagonalDown="0">
        <left style="thick">
          <color rgb="FF66B083"/>
        </left>
        <right style="thick">
          <color rgb="FF66B083"/>
        </right>
        <top style="thick">
          <color rgb="FF66B083"/>
        </top>
        <bottom style="thick">
          <color rgb="FF66B083"/>
        </bottom>
      </border>
    </dxf>
    <dxf>
      <border diagonalUp="0" diagonalDown="0">
        <left style="thick">
          <color rgb="FF6F9AC4"/>
        </left>
        <right style="thick">
          <color rgb="FF6F9AC4"/>
        </right>
        <top style="thick">
          <color rgb="FF6F9AC4"/>
        </top>
        <bottom style="thick">
          <color rgb="FF6F9AC4"/>
        </bottom>
      </border>
    </dxf>
    <dxf>
      <fill>
        <patternFill>
          <bgColor rgb="FFDCE7AE"/>
        </patternFill>
      </fill>
    </dxf>
    <dxf>
      <fill>
        <patternFill>
          <bgColor rgb="FFBFEAE0"/>
        </patternFill>
      </fill>
    </dxf>
    <dxf>
      <fill>
        <patternFill>
          <bgColor rgb="FFFAC4BC"/>
        </patternFill>
      </fill>
    </dxf>
    <dxf>
      <fill>
        <patternFill>
          <bgColor rgb="FFE5CDEE"/>
        </patternFill>
      </fill>
    </dxf>
    <dxf>
      <fill>
        <patternFill>
          <bgColor rgb="FFFBE7B2"/>
        </patternFill>
      </fill>
    </dxf>
    <dxf>
      <fill>
        <patternFill>
          <bgColor rgb="FFC2E5C9"/>
        </patternFill>
      </fill>
    </dxf>
    <dxf>
      <fill>
        <patternFill>
          <bgColor rgb="FFBBD4EA"/>
        </patternFill>
      </fill>
    </dxf>
    <dxf>
      <font>
        <b/>
        <color rgb="FFA30000"/>
        <name val="Arial"/>
        <charset val="1"/>
      </font>
      <fill>
        <patternFill>
          <bgColor rgb="FFF4C0C0"/>
        </patternFill>
      </fill>
    </dxf>
    <dxf>
      <font>
        <i/>
        <color rgb="FF999999"/>
        <name val="Arial"/>
        <charset val="1"/>
      </font>
      <fill>
        <patternFill>
          <bgColor rgb="FFEDEDED"/>
        </patternFill>
      </fill>
    </dxf>
    <dxf>
      <font>
        <b/>
        <color rgb="FF1A6010"/>
        <name val="Arial"/>
        <charset val="1"/>
      </font>
      <fill>
        <patternFill>
          <bgColor rgb="FFD8F0D0"/>
        </patternFill>
      </fill>
    </dxf>
    <dxf>
      <font>
        <b/>
        <color rgb="FF8A5A00"/>
        <name val="Arial"/>
        <charset val="1"/>
      </font>
      <fill>
        <patternFill>
          <bgColor rgb="FFFBE6C0"/>
        </patternFill>
      </fill>
    </dxf>
    <dxf>
      <font>
        <i/>
        <color rgb="FF999999"/>
        <name val="Arial"/>
        <charset val="1"/>
      </font>
      <fill>
        <patternFill>
          <bgColor rgb="FFEDEDED"/>
        </patternFill>
      </fill>
    </dxf>
    <dxf>
      <font>
        <b/>
        <color rgb="FF8A5A00"/>
        <name val="Arial"/>
        <charset val="1"/>
      </font>
      <fill>
        <patternFill>
          <bgColor rgb="FFFBE6C0"/>
        </patternFill>
      </fill>
    </dxf>
    <dxf>
      <font>
        <b/>
        <color rgb="FFA30000"/>
        <name val="Arial"/>
        <charset val="1"/>
      </font>
      <fill>
        <patternFill>
          <bgColor rgb="FFF4C0C0"/>
        </patternFill>
      </fill>
    </dxf>
    <dxf>
      <font>
        <b/>
        <color rgb="FF1A6010"/>
        <name val="Arial"/>
        <charset val="1"/>
      </font>
      <fill>
        <patternFill>
          <bgColor rgb="FFD8F0D0"/>
        </patternFill>
      </fill>
    </dxf>
    <dxf>
      <font>
        <b/>
        <color rgb="FFA30000"/>
        <name val="Arial"/>
        <charset val="1"/>
      </font>
      <fill>
        <patternFill>
          <bgColor rgb="FFF4C0C0"/>
        </patternFill>
      </fill>
    </dxf>
    <dxf>
      <font>
        <b val="0"/>
        <i/>
        <color rgb="FF969696"/>
      </font>
      <fill>
        <patternFill>
          <bgColor rgb="FFE6E6E1"/>
        </patternFill>
      </fill>
    </dxf>
    <dxf>
      <font>
        <b val="0"/>
        <i/>
        <color rgb="FF969696"/>
      </font>
      <fill>
        <patternFill>
          <bgColor rgb="FFE6E6E1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2E7A5E"/>
      <rgbColor rgb="FF0000FF"/>
      <rgbColor rgb="FFFBE6C0"/>
      <rgbColor rgb="FFFF00FF"/>
      <rgbColor rgb="FF00FFFF"/>
      <rgbColor rgb="FFA30000"/>
      <rgbColor rgb="FF1A7A1A"/>
      <rgbColor rgb="FF2E5E20"/>
      <rgbColor rgb="FF8A5A00"/>
      <rgbColor rgb="FF7A3AA0"/>
      <rgbColor rgb="FF0A8A8A"/>
      <rgbColor rgb="FFB0B0B0"/>
      <rgbColor rgb="FF7A5E2E"/>
      <rgbColor rgb="FFF4C0C0"/>
      <rgbColor rgb="FF8A3A3A"/>
      <rgbColor rgb="FFF2F2F2"/>
      <rgbColor rgb="FFD8F0D0"/>
      <rgbColor rgb="FF6B4A2F"/>
      <rgbColor rgb="FFC8892A"/>
      <rgbColor rgb="FF2A5AAA"/>
      <rgbColor rgb="FFBDD7FF"/>
      <rgbColor rgb="FF1A6010"/>
      <rgbColor rgb="FFFF00FF"/>
      <rgbColor rgb="FFFFFF00"/>
      <rgbColor rgb="FF00FFFF"/>
      <rgbColor rgb="FF7A4FA0"/>
      <rgbColor rgb="FF555555"/>
      <rgbColor rgb="FF2E7A6E"/>
      <rgbColor rgb="FF0000FF"/>
      <rgbColor rgb="FF3A6E9E"/>
      <rgbColor rgb="FFEDEDED"/>
      <rgbColor rgb="FFBFF2BF"/>
      <rgbColor rgb="FFFFFF99"/>
      <rgbColor rgb="FFA8EEEE"/>
      <rgbColor rgb="FFFFC0B8"/>
      <rgbColor rgb="FFE6C2FA"/>
      <rgbColor rgb="FFFFD79E"/>
      <rgbColor rgb="FF3A7CB8"/>
      <rgbColor rgb="FF2E8A8A"/>
      <rgbColor rgb="FF4A6E2E"/>
      <rgbColor rgb="FFFFCC00"/>
      <rgbColor rgb="FFD08020"/>
      <rgbColor rgb="FFFF6600"/>
      <rgbColor rgb="FF666666"/>
      <rgbColor rgb="FF999999"/>
      <rgbColor rgb="FF1A1A1A"/>
      <rgbColor rgb="FF3D8A4F"/>
      <rgbColor rgb="FF222820"/>
      <rgbColor rgb="FF2B3126"/>
      <rgbColor rgb="FFC03020"/>
      <rgbColor rgb="FFB0473C"/>
      <rgbColor rgb="FF6E3A7A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2"/>
  <sheetViews>
    <sheetView showGridLines="0" zoomScaleNormal="100" workbookViewId="0">
      <selection sqref="A1:N1"/>
    </sheetView>
  </sheetViews>
  <sheetFormatPr defaultColWidth="8.6640625" defaultRowHeight="14.4" x14ac:dyDescent="0.3"/>
  <cols>
    <col min="1" max="1" width="8" customWidth="1"/>
    <col min="2" max="10" width="12" customWidth="1"/>
    <col min="11" max="11" width="7" customWidth="1"/>
    <col min="12" max="12" width="12" customWidth="1"/>
    <col min="13" max="13" width="10" customWidth="1"/>
  </cols>
  <sheetData>
    <row r="1" spans="1:14" ht="24" customHeight="1" x14ac:dyDescent="0.3">
      <c r="A1" s="43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</row>
    <row r="2" spans="1:14" x14ac:dyDescent="0.3">
      <c r="A2" s="44" t="s">
        <v>1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</row>
    <row r="4" spans="1:14" x14ac:dyDescent="0.3">
      <c r="A4" s="45" t="s">
        <v>2</v>
      </c>
      <c r="B4" s="45"/>
      <c r="C4" s="45"/>
    </row>
    <row r="5" spans="1:14" x14ac:dyDescent="0.3">
      <c r="A5" s="2" t="s">
        <v>3</v>
      </c>
      <c r="C5" s="3">
        <v>10</v>
      </c>
      <c r="G5" t="s">
        <v>18</v>
      </c>
    </row>
    <row r="6" spans="1:14" x14ac:dyDescent="0.3">
      <c r="A6" s="4" t="s">
        <v>4</v>
      </c>
      <c r="C6" s="5">
        <v>72</v>
      </c>
      <c r="G6">
        <v>2</v>
      </c>
    </row>
    <row r="7" spans="1:14" x14ac:dyDescent="0.3">
      <c r="C7" t="s">
        <v>415</v>
      </c>
    </row>
    <row r="8" spans="1:14" x14ac:dyDescent="0.3">
      <c r="A8" s="45" t="s">
        <v>5</v>
      </c>
      <c r="B8" s="45"/>
      <c r="C8" s="45"/>
      <c r="D8" s="45"/>
      <c r="E8" s="45"/>
      <c r="F8" s="45"/>
      <c r="G8" s="45"/>
      <c r="H8" s="45"/>
    </row>
    <row r="9" spans="1:14" x14ac:dyDescent="0.3">
      <c r="A9" s="6" t="s">
        <v>6</v>
      </c>
      <c r="B9" s="6" t="s">
        <v>7</v>
      </c>
      <c r="C9" s="6" t="s">
        <v>8</v>
      </c>
      <c r="D9" s="6" t="s">
        <v>9</v>
      </c>
      <c r="E9" s="6" t="s">
        <v>10</v>
      </c>
      <c r="F9" s="6" t="s">
        <v>11</v>
      </c>
      <c r="G9" s="6" t="s">
        <v>12</v>
      </c>
      <c r="H9" s="6" t="s">
        <v>13</v>
      </c>
      <c r="J9" s="45" t="s">
        <v>14</v>
      </c>
      <c r="K9" s="45"/>
      <c r="L9" s="45"/>
      <c r="M9" s="45"/>
    </row>
    <row r="10" spans="1:14" x14ac:dyDescent="0.3">
      <c r="A10" s="7">
        <v>1</v>
      </c>
      <c r="B10" s="8" t="str">
        <f t="shared" ref="B10:B29" si="0">IF(AND($C$7="Yes",OR($C10&lt;&gt;"",$E10&lt;&gt;"")),$G$5,"")</f>
        <v>2x6</v>
      </c>
      <c r="C10" s="8">
        <v>8</v>
      </c>
      <c r="D10" s="8">
        <f t="shared" ref="D10:D29" si="1">IF(AND($C$7="Yes",OR($C10&lt;&gt;"",$E10&lt;&gt;"")),$G$6,"")</f>
        <v>2</v>
      </c>
      <c r="E10" s="8">
        <v>7</v>
      </c>
      <c r="F10" s="9">
        <f t="shared" ref="F10:F29" si="2">IF(B10="","",C10*E10)</f>
        <v>56</v>
      </c>
      <c r="G10" s="9">
        <f t="shared" ref="G10:G29" si="3">IF(B10="","",COUNTIF($B$34:$J$47,B10&amp;"-"&amp;C10&amp;"-"&amp;D10))</f>
        <v>7</v>
      </c>
      <c r="H10" s="9">
        <f t="shared" ref="H10:H29" si="4">IF(B10="","",E10-G10)</f>
        <v>0</v>
      </c>
      <c r="I10" s="10">
        <f t="shared" ref="I10:I29" si="5">IF(B10="",0,C10*G10)</f>
        <v>56</v>
      </c>
      <c r="J10" s="46" t="s">
        <v>17</v>
      </c>
      <c r="K10" s="46"/>
      <c r="L10" s="47">
        <f>F30</f>
        <v>720</v>
      </c>
      <c r="M10" s="47"/>
    </row>
    <row r="11" spans="1:14" x14ac:dyDescent="0.3">
      <c r="A11" s="7">
        <v>2</v>
      </c>
      <c r="B11" s="8" t="str">
        <f t="shared" si="0"/>
        <v>2x6</v>
      </c>
      <c r="C11" s="8">
        <v>10</v>
      </c>
      <c r="D11" s="8">
        <f t="shared" si="1"/>
        <v>2</v>
      </c>
      <c r="E11" s="8">
        <v>15</v>
      </c>
      <c r="F11" s="9">
        <f t="shared" si="2"/>
        <v>150</v>
      </c>
      <c r="G11" s="9">
        <f t="shared" si="3"/>
        <v>15</v>
      </c>
      <c r="H11" s="9">
        <f t="shared" si="4"/>
        <v>0</v>
      </c>
      <c r="I11" s="10">
        <f t="shared" si="5"/>
        <v>150</v>
      </c>
      <c r="J11" s="46" t="s">
        <v>19</v>
      </c>
      <c r="K11" s="46"/>
      <c r="L11" s="47">
        <f>C5*C6</f>
        <v>720</v>
      </c>
      <c r="M11" s="47"/>
    </row>
    <row r="12" spans="1:14" x14ac:dyDescent="0.3">
      <c r="A12" s="7">
        <v>3</v>
      </c>
      <c r="B12" s="8" t="str">
        <f t="shared" si="0"/>
        <v>2x6</v>
      </c>
      <c r="C12" s="8">
        <v>12</v>
      </c>
      <c r="D12" s="8">
        <f t="shared" si="1"/>
        <v>2</v>
      </c>
      <c r="E12" s="8">
        <v>10</v>
      </c>
      <c r="F12" s="9">
        <f t="shared" si="2"/>
        <v>120</v>
      </c>
      <c r="G12" s="9">
        <f t="shared" si="3"/>
        <v>10</v>
      </c>
      <c r="H12" s="9">
        <f t="shared" si="4"/>
        <v>0</v>
      </c>
      <c r="I12" s="10">
        <f t="shared" si="5"/>
        <v>120</v>
      </c>
      <c r="J12" s="46" t="s">
        <v>20</v>
      </c>
      <c r="K12" s="46"/>
      <c r="L12" s="47">
        <f>F30-C5*C6</f>
        <v>0</v>
      </c>
      <c r="M12" s="47"/>
    </row>
    <row r="13" spans="1:14" x14ac:dyDescent="0.3">
      <c r="A13" s="7">
        <v>4</v>
      </c>
      <c r="B13" s="8" t="str">
        <f t="shared" si="0"/>
        <v>2x6</v>
      </c>
      <c r="C13" s="8">
        <v>14</v>
      </c>
      <c r="D13" s="8">
        <f t="shared" si="1"/>
        <v>2</v>
      </c>
      <c r="E13" s="8">
        <v>11</v>
      </c>
      <c r="F13" s="9">
        <f t="shared" si="2"/>
        <v>154</v>
      </c>
      <c r="G13" s="9">
        <f t="shared" si="3"/>
        <v>11</v>
      </c>
      <c r="H13" s="9">
        <f t="shared" si="4"/>
        <v>0</v>
      </c>
      <c r="I13" s="10">
        <f t="shared" si="5"/>
        <v>154</v>
      </c>
      <c r="J13" s="46" t="s">
        <v>23</v>
      </c>
      <c r="K13" s="46"/>
      <c r="L13" s="47">
        <f>IF(F30=0,0,ROUNDUP(F30/C6,0))</f>
        <v>10</v>
      </c>
      <c r="M13" s="47"/>
    </row>
    <row r="14" spans="1:14" x14ac:dyDescent="0.3">
      <c r="A14" s="7">
        <v>5</v>
      </c>
      <c r="B14" s="8" t="str">
        <f t="shared" si="0"/>
        <v>2x6</v>
      </c>
      <c r="C14" s="8">
        <v>16</v>
      </c>
      <c r="D14" s="8">
        <f t="shared" si="1"/>
        <v>2</v>
      </c>
      <c r="E14" s="8">
        <v>15</v>
      </c>
      <c r="F14" s="9">
        <f t="shared" si="2"/>
        <v>240</v>
      </c>
      <c r="G14" s="9">
        <f t="shared" si="3"/>
        <v>15</v>
      </c>
      <c r="H14" s="9">
        <f t="shared" si="4"/>
        <v>0</v>
      </c>
      <c r="I14" s="10">
        <f t="shared" si="5"/>
        <v>240</v>
      </c>
      <c r="J14" s="46" t="s">
        <v>25</v>
      </c>
      <c r="K14" s="46"/>
      <c r="L14" s="47">
        <f>COUNTIF($L$34:$L$47,"OK 72")</f>
        <v>10</v>
      </c>
      <c r="M14" s="47"/>
    </row>
    <row r="15" spans="1:14" x14ac:dyDescent="0.3">
      <c r="A15" s="7">
        <v>6</v>
      </c>
      <c r="B15" s="8" t="str">
        <f t="shared" si="0"/>
        <v/>
      </c>
      <c r="C15" s="8"/>
      <c r="D15" s="8" t="str">
        <f t="shared" si="1"/>
        <v/>
      </c>
      <c r="E15" s="8"/>
      <c r="F15" s="9" t="str">
        <f t="shared" si="2"/>
        <v/>
      </c>
      <c r="G15" s="9" t="str">
        <f t="shared" si="3"/>
        <v/>
      </c>
      <c r="H15" s="9" t="str">
        <f t="shared" si="4"/>
        <v/>
      </c>
      <c r="I15" s="10">
        <f t="shared" si="5"/>
        <v>0</v>
      </c>
      <c r="J15" s="46" t="s">
        <v>26</v>
      </c>
      <c r="K15" s="46"/>
      <c r="L15" s="47">
        <f>COUNTA($B$34:$J$47)</f>
        <v>58</v>
      </c>
      <c r="M15" s="47"/>
    </row>
    <row r="16" spans="1:14" x14ac:dyDescent="0.3">
      <c r="A16" s="7">
        <v>7</v>
      </c>
      <c r="B16" s="8" t="str">
        <f t="shared" si="0"/>
        <v/>
      </c>
      <c r="C16" s="8"/>
      <c r="D16" s="8" t="str">
        <f t="shared" si="1"/>
        <v/>
      </c>
      <c r="E16" s="8"/>
      <c r="F16" s="9" t="str">
        <f t="shared" si="2"/>
        <v/>
      </c>
      <c r="G16" s="9" t="str">
        <f t="shared" si="3"/>
        <v/>
      </c>
      <c r="H16" s="9" t="str">
        <f t="shared" si="4"/>
        <v/>
      </c>
      <c r="I16" s="10">
        <f t="shared" si="5"/>
        <v>0</v>
      </c>
      <c r="J16" s="46" t="s">
        <v>27</v>
      </c>
      <c r="K16" s="46"/>
      <c r="L16" s="47">
        <f>E30-COUNTA($B$34:$J$47)</f>
        <v>0</v>
      </c>
      <c r="M16" s="47"/>
    </row>
    <row r="17" spans="1:13" x14ac:dyDescent="0.3">
      <c r="A17" s="7">
        <v>8</v>
      </c>
      <c r="B17" s="8" t="str">
        <f t="shared" si="0"/>
        <v/>
      </c>
      <c r="C17" s="8"/>
      <c r="D17" s="8" t="str">
        <f t="shared" si="1"/>
        <v/>
      </c>
      <c r="E17" s="8"/>
      <c r="F17" s="9" t="str">
        <f t="shared" si="2"/>
        <v/>
      </c>
      <c r="G17" s="9" t="str">
        <f t="shared" si="3"/>
        <v/>
      </c>
      <c r="H17" s="9" t="str">
        <f t="shared" si="4"/>
        <v/>
      </c>
      <c r="I17" s="10">
        <f t="shared" si="5"/>
        <v>0</v>
      </c>
      <c r="J17" s="48" t="s">
        <v>28</v>
      </c>
      <c r="K17" s="48"/>
      <c r="L17" s="49" t="str">
        <f>IF(E30-COUNTA($B$34:$J$47)&gt;0,"OVERLOADED — "&amp;(E30-COUNTA($B$34:$J$47))&amp;" unplaced",IF(AND(COUNTIF($L$34:$L$47,"OK 72")=C5,C5&gt;0),"PERFECT — all "&amp;C5&amp;" rows = 72ft",IF(COUNTIF($L$34:$L$47,"OVER*")&gt;0,"ROW OVER 72 — fix","INCOMPLETE — keep filling")))</f>
        <v>PERFECT — all 10 rows = 72ft</v>
      </c>
      <c r="M17" s="49"/>
    </row>
    <row r="18" spans="1:13" x14ac:dyDescent="0.3">
      <c r="A18" s="7">
        <v>9</v>
      </c>
      <c r="B18" s="8" t="str">
        <f t="shared" si="0"/>
        <v/>
      </c>
      <c r="C18" s="8"/>
      <c r="D18" s="8" t="str">
        <f t="shared" si="1"/>
        <v/>
      </c>
      <c r="E18" s="8"/>
      <c r="F18" s="9" t="str">
        <f t="shared" si="2"/>
        <v/>
      </c>
      <c r="G18" s="9" t="str">
        <f t="shared" si="3"/>
        <v/>
      </c>
      <c r="H18" s="9" t="str">
        <f t="shared" si="4"/>
        <v/>
      </c>
      <c r="I18" s="10">
        <f t="shared" si="5"/>
        <v>0</v>
      </c>
    </row>
    <row r="19" spans="1:13" x14ac:dyDescent="0.3">
      <c r="A19" s="7">
        <v>10</v>
      </c>
      <c r="B19" s="8" t="str">
        <f t="shared" si="0"/>
        <v/>
      </c>
      <c r="C19" s="8"/>
      <c r="D19" s="8" t="str">
        <f t="shared" si="1"/>
        <v/>
      </c>
      <c r="E19" s="8"/>
      <c r="F19" s="9" t="str">
        <f t="shared" si="2"/>
        <v/>
      </c>
      <c r="G19" s="9" t="str">
        <f t="shared" si="3"/>
        <v/>
      </c>
      <c r="H19" s="9" t="str">
        <f t="shared" si="4"/>
        <v/>
      </c>
      <c r="I19" s="10">
        <f t="shared" si="5"/>
        <v>0</v>
      </c>
    </row>
    <row r="20" spans="1:13" x14ac:dyDescent="0.3">
      <c r="A20" s="7">
        <v>11</v>
      </c>
      <c r="B20" s="8" t="str">
        <f t="shared" si="0"/>
        <v/>
      </c>
      <c r="C20" s="8"/>
      <c r="D20" s="8" t="str">
        <f t="shared" si="1"/>
        <v/>
      </c>
      <c r="E20" s="8"/>
      <c r="F20" s="9" t="str">
        <f t="shared" si="2"/>
        <v/>
      </c>
      <c r="G20" s="9" t="str">
        <f t="shared" si="3"/>
        <v/>
      </c>
      <c r="H20" s="9" t="str">
        <f t="shared" si="4"/>
        <v/>
      </c>
      <c r="I20" s="10">
        <f t="shared" si="5"/>
        <v>0</v>
      </c>
    </row>
    <row r="21" spans="1:13" x14ac:dyDescent="0.3">
      <c r="A21" s="7">
        <v>12</v>
      </c>
      <c r="B21" s="8" t="str">
        <f t="shared" si="0"/>
        <v/>
      </c>
      <c r="C21" s="8"/>
      <c r="D21" s="8" t="str">
        <f t="shared" si="1"/>
        <v/>
      </c>
      <c r="E21" s="8"/>
      <c r="F21" s="9" t="str">
        <f t="shared" si="2"/>
        <v/>
      </c>
      <c r="G21" s="9" t="str">
        <f t="shared" si="3"/>
        <v/>
      </c>
      <c r="H21" s="9" t="str">
        <f t="shared" si="4"/>
        <v/>
      </c>
      <c r="I21" s="10">
        <f t="shared" si="5"/>
        <v>0</v>
      </c>
    </row>
    <row r="22" spans="1:13" x14ac:dyDescent="0.3">
      <c r="A22" s="7">
        <v>13</v>
      </c>
      <c r="B22" s="8" t="str">
        <f t="shared" si="0"/>
        <v/>
      </c>
      <c r="C22" s="8"/>
      <c r="D22" s="8" t="str">
        <f t="shared" si="1"/>
        <v/>
      </c>
      <c r="E22" s="8"/>
      <c r="F22" s="9" t="str">
        <f t="shared" si="2"/>
        <v/>
      </c>
      <c r="G22" s="9" t="str">
        <f t="shared" si="3"/>
        <v/>
      </c>
      <c r="H22" s="9" t="str">
        <f t="shared" si="4"/>
        <v/>
      </c>
      <c r="I22" s="10">
        <f t="shared" si="5"/>
        <v>0</v>
      </c>
    </row>
    <row r="23" spans="1:13" x14ac:dyDescent="0.3">
      <c r="A23" s="7">
        <v>14</v>
      </c>
      <c r="B23" s="8" t="str">
        <f t="shared" si="0"/>
        <v/>
      </c>
      <c r="C23" s="8"/>
      <c r="D23" s="8" t="str">
        <f t="shared" si="1"/>
        <v/>
      </c>
      <c r="E23" s="8"/>
      <c r="F23" s="9" t="str">
        <f t="shared" si="2"/>
        <v/>
      </c>
      <c r="G23" s="9" t="str">
        <f t="shared" si="3"/>
        <v/>
      </c>
      <c r="H23" s="9" t="str">
        <f t="shared" si="4"/>
        <v/>
      </c>
      <c r="I23" s="10">
        <f t="shared" si="5"/>
        <v>0</v>
      </c>
    </row>
    <row r="24" spans="1:13" x14ac:dyDescent="0.3">
      <c r="A24" s="7">
        <v>15</v>
      </c>
      <c r="B24" s="8" t="str">
        <f t="shared" si="0"/>
        <v/>
      </c>
      <c r="C24" s="8"/>
      <c r="D24" s="8" t="str">
        <f t="shared" si="1"/>
        <v/>
      </c>
      <c r="E24" s="8"/>
      <c r="F24" s="9" t="str">
        <f t="shared" si="2"/>
        <v/>
      </c>
      <c r="G24" s="9" t="str">
        <f t="shared" si="3"/>
        <v/>
      </c>
      <c r="H24" s="9" t="str">
        <f t="shared" si="4"/>
        <v/>
      </c>
      <c r="I24" s="10">
        <f t="shared" si="5"/>
        <v>0</v>
      </c>
    </row>
    <row r="25" spans="1:13" x14ac:dyDescent="0.3">
      <c r="A25" s="7">
        <v>16</v>
      </c>
      <c r="B25" s="8" t="str">
        <f t="shared" si="0"/>
        <v/>
      </c>
      <c r="C25" s="8"/>
      <c r="D25" s="8" t="str">
        <f t="shared" si="1"/>
        <v/>
      </c>
      <c r="E25" s="8"/>
      <c r="F25" s="9" t="str">
        <f t="shared" si="2"/>
        <v/>
      </c>
      <c r="G25" s="9" t="str">
        <f t="shared" si="3"/>
        <v/>
      </c>
      <c r="H25" s="9" t="str">
        <f t="shared" si="4"/>
        <v/>
      </c>
      <c r="I25" s="10">
        <f t="shared" si="5"/>
        <v>0</v>
      </c>
    </row>
    <row r="26" spans="1:13" x14ac:dyDescent="0.3">
      <c r="A26" s="7">
        <v>17</v>
      </c>
      <c r="B26" s="8" t="str">
        <f t="shared" si="0"/>
        <v/>
      </c>
      <c r="C26" s="8"/>
      <c r="D26" s="8" t="str">
        <f t="shared" si="1"/>
        <v/>
      </c>
      <c r="E26" s="8"/>
      <c r="F26" s="9" t="str">
        <f t="shared" si="2"/>
        <v/>
      </c>
      <c r="G26" s="9" t="str">
        <f t="shared" si="3"/>
        <v/>
      </c>
      <c r="H26" s="9" t="str">
        <f t="shared" si="4"/>
        <v/>
      </c>
      <c r="I26" s="10">
        <f t="shared" si="5"/>
        <v>0</v>
      </c>
    </row>
    <row r="27" spans="1:13" x14ac:dyDescent="0.3">
      <c r="A27" s="7">
        <v>18</v>
      </c>
      <c r="B27" s="8" t="str">
        <f t="shared" si="0"/>
        <v/>
      </c>
      <c r="C27" s="8"/>
      <c r="D27" s="8" t="str">
        <f t="shared" si="1"/>
        <v/>
      </c>
      <c r="E27" s="8"/>
      <c r="F27" s="9" t="str">
        <f t="shared" si="2"/>
        <v/>
      </c>
      <c r="G27" s="9" t="str">
        <f t="shared" si="3"/>
        <v/>
      </c>
      <c r="H27" s="9" t="str">
        <f t="shared" si="4"/>
        <v/>
      </c>
      <c r="I27" s="10">
        <f t="shared" si="5"/>
        <v>0</v>
      </c>
    </row>
    <row r="28" spans="1:13" x14ac:dyDescent="0.3">
      <c r="A28" s="7">
        <v>19</v>
      </c>
      <c r="B28" s="8" t="str">
        <f t="shared" si="0"/>
        <v/>
      </c>
      <c r="C28" s="8"/>
      <c r="D28" s="8" t="str">
        <f t="shared" si="1"/>
        <v/>
      </c>
      <c r="E28" s="8"/>
      <c r="F28" s="9" t="str">
        <f t="shared" si="2"/>
        <v/>
      </c>
      <c r="G28" s="9" t="str">
        <f t="shared" si="3"/>
        <v/>
      </c>
      <c r="H28" s="9" t="str">
        <f t="shared" si="4"/>
        <v/>
      </c>
      <c r="I28" s="10">
        <f t="shared" si="5"/>
        <v>0</v>
      </c>
    </row>
    <row r="29" spans="1:13" x14ac:dyDescent="0.3">
      <c r="A29" s="7">
        <v>20</v>
      </c>
      <c r="B29" s="8" t="str">
        <f t="shared" si="0"/>
        <v/>
      </c>
      <c r="C29" s="8"/>
      <c r="D29" s="8" t="str">
        <f t="shared" si="1"/>
        <v/>
      </c>
      <c r="E29" s="8"/>
      <c r="F29" s="9" t="str">
        <f t="shared" si="2"/>
        <v/>
      </c>
      <c r="G29" s="9" t="str">
        <f t="shared" si="3"/>
        <v/>
      </c>
      <c r="H29" s="9" t="str">
        <f t="shared" si="4"/>
        <v/>
      </c>
      <c r="I29" s="10">
        <f t="shared" si="5"/>
        <v>0</v>
      </c>
    </row>
    <row r="30" spans="1:13" x14ac:dyDescent="0.3">
      <c r="A30" s="49" t="s">
        <v>29</v>
      </c>
      <c r="B30" s="49"/>
      <c r="C30" s="49"/>
      <c r="D30" s="49"/>
      <c r="E30" s="1">
        <f>SUM(E10:E29)</f>
        <v>58</v>
      </c>
      <c r="F30" s="1">
        <f>SUM(F10:F29)</f>
        <v>720</v>
      </c>
      <c r="G30" s="1">
        <f>SUM(G10:G29)</f>
        <v>58</v>
      </c>
      <c r="H30" s="1">
        <f>SUM(H10:H29)</f>
        <v>0</v>
      </c>
      <c r="I30">
        <f>SUM(I10:I29)</f>
        <v>720</v>
      </c>
    </row>
    <row r="32" spans="1:13" x14ac:dyDescent="0.3">
      <c r="A32" s="45" t="s">
        <v>30</v>
      </c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</row>
    <row r="33" spans="1:12" x14ac:dyDescent="0.3">
      <c r="A33" s="6" t="s">
        <v>31</v>
      </c>
      <c r="B33" s="6" t="s">
        <v>32</v>
      </c>
      <c r="C33" s="6" t="s">
        <v>33</v>
      </c>
      <c r="D33" s="6" t="s">
        <v>34</v>
      </c>
      <c r="E33" s="6" t="s">
        <v>35</v>
      </c>
      <c r="F33" s="6" t="s">
        <v>36</v>
      </c>
      <c r="G33" s="6" t="s">
        <v>37</v>
      </c>
      <c r="H33" s="6" t="s">
        <v>38</v>
      </c>
      <c r="I33" s="6" t="s">
        <v>39</v>
      </c>
      <c r="J33" s="6" t="s">
        <v>40</v>
      </c>
      <c r="K33" s="6" t="s">
        <v>41</v>
      </c>
      <c r="L33" s="6" t="s">
        <v>42</v>
      </c>
    </row>
    <row r="34" spans="1:12" x14ac:dyDescent="0.3">
      <c r="A34" s="11" t="s">
        <v>43</v>
      </c>
      <c r="B34" s="12" t="s">
        <v>416</v>
      </c>
      <c r="C34" s="12" t="s">
        <v>416</v>
      </c>
      <c r="D34" s="12" t="s">
        <v>416</v>
      </c>
      <c r="E34" s="12" t="s">
        <v>416</v>
      </c>
      <c r="F34" s="12" t="s">
        <v>417</v>
      </c>
      <c r="G34" s="12"/>
      <c r="H34" s="12"/>
      <c r="I34" s="12"/>
      <c r="J34" s="12"/>
      <c r="K34" s="1">
        <f t="shared" ref="K34:K47" si="6">IFERROR(VALUE(MID(B34,FIND("-",B34)+1,FIND("-",B34,FIND("-",B34)+1)-FIND("-",B34)-1)),0)+IFERROR(VALUE(MID(C34,FIND("-",C34)+1,FIND("-",C34,FIND("-",C34)+1)-FIND("-",C34)-1)),0)+IFERROR(VALUE(MID(D34,FIND("-",D34)+1,FIND("-",D34,FIND("-",D34)+1)-FIND("-",D34)-1)),0)+IFERROR(VALUE(MID(E34,FIND("-",E34)+1,FIND("-",E34,FIND("-",E34)+1)-FIND("-",E34)-1)),0)+IFERROR(VALUE(MID(F34,FIND("-",F34)+1,FIND("-",F34,FIND("-",F34)+1)-FIND("-",F34)-1)),0)+IFERROR(VALUE(MID(G34,FIND("-",G34)+1,FIND("-",G34,FIND("-",G34)+1)-FIND("-",G34)-1)),0)+IFERROR(VALUE(MID(H34,FIND("-",H34)+1,FIND("-",H34,FIND("-",H34)+1)-FIND("-",H34)-1)),0)+IFERROR(VALUE(MID(I34,FIND("-",I34)+1,FIND("-",I34,FIND("-",I34)+1)-FIND("-",I34)-1)),0)+IFERROR(VALUE(MID(J34,FIND("-",J34)+1,FIND("-",J34,FIND("-",J34)+1)-FIND("-",J34)-1)),0)</f>
        <v>72</v>
      </c>
      <c r="L34" s="1" t="str">
        <f t="shared" ref="L34:L47" si="7">IF(ROW()-33&gt;$C$5,"— unused —",IF(K34=0,"empty",IF(K34=$C$6,"OK 72",IF(K34&gt;$C$6,"OVER "&amp;K34,"SHORT "&amp;($C$6-K34)))))</f>
        <v>OK 72</v>
      </c>
    </row>
    <row r="35" spans="1:12" x14ac:dyDescent="0.3">
      <c r="A35" s="11" t="s">
        <v>44</v>
      </c>
      <c r="B35" s="12" t="s">
        <v>416</v>
      </c>
      <c r="C35" s="12" t="s">
        <v>416</v>
      </c>
      <c r="D35" s="12" t="s">
        <v>416</v>
      </c>
      <c r="E35" s="12" t="s">
        <v>416</v>
      </c>
      <c r="F35" s="12" t="s">
        <v>417</v>
      </c>
      <c r="G35" s="12"/>
      <c r="H35" s="12"/>
      <c r="I35" s="12"/>
      <c r="J35" s="12"/>
      <c r="K35" s="1">
        <f t="shared" si="6"/>
        <v>72</v>
      </c>
      <c r="L35" s="1" t="str">
        <f t="shared" si="7"/>
        <v>OK 72</v>
      </c>
    </row>
    <row r="36" spans="1:12" x14ac:dyDescent="0.3">
      <c r="A36" s="11" t="s">
        <v>45</v>
      </c>
      <c r="B36" s="12" t="s">
        <v>416</v>
      </c>
      <c r="C36" s="12" t="s">
        <v>416</v>
      </c>
      <c r="D36" s="12" t="s">
        <v>416</v>
      </c>
      <c r="E36" s="12" t="s">
        <v>416</v>
      </c>
      <c r="F36" s="12" t="s">
        <v>417</v>
      </c>
      <c r="G36" s="12"/>
      <c r="H36" s="12"/>
      <c r="I36" s="12"/>
      <c r="J36" s="12"/>
      <c r="K36" s="1">
        <f t="shared" si="6"/>
        <v>72</v>
      </c>
      <c r="L36" s="1" t="str">
        <f t="shared" si="7"/>
        <v>OK 72</v>
      </c>
    </row>
    <row r="37" spans="1:12" x14ac:dyDescent="0.3">
      <c r="A37" s="11" t="s">
        <v>46</v>
      </c>
      <c r="B37" s="12" t="s">
        <v>416</v>
      </c>
      <c r="C37" s="12" t="s">
        <v>416</v>
      </c>
      <c r="D37" s="12" t="s">
        <v>416</v>
      </c>
      <c r="E37" s="12" t="s">
        <v>418</v>
      </c>
      <c r="F37" s="12" t="s">
        <v>418</v>
      </c>
      <c r="G37" s="12"/>
      <c r="H37" s="12"/>
      <c r="I37" s="12"/>
      <c r="J37" s="12"/>
      <c r="K37" s="1">
        <f t="shared" si="6"/>
        <v>72</v>
      </c>
      <c r="L37" s="1" t="str">
        <f t="shared" si="7"/>
        <v>OK 72</v>
      </c>
    </row>
    <row r="38" spans="1:12" x14ac:dyDescent="0.3">
      <c r="A38" s="11" t="s">
        <v>47</v>
      </c>
      <c r="B38" s="12" t="s">
        <v>419</v>
      </c>
      <c r="C38" s="12" t="s">
        <v>419</v>
      </c>
      <c r="D38" s="12" t="s">
        <v>419</v>
      </c>
      <c r="E38" s="12" t="s">
        <v>419</v>
      </c>
      <c r="F38" s="12" t="s">
        <v>417</v>
      </c>
      <c r="G38" s="12" t="s">
        <v>417</v>
      </c>
      <c r="H38" s="12"/>
      <c r="I38" s="12"/>
      <c r="J38" s="12"/>
      <c r="K38" s="1">
        <f t="shared" si="6"/>
        <v>72</v>
      </c>
      <c r="L38" s="1" t="str">
        <f t="shared" si="7"/>
        <v>OK 72</v>
      </c>
    </row>
    <row r="39" spans="1:12" x14ac:dyDescent="0.3">
      <c r="A39" s="11" t="s">
        <v>48</v>
      </c>
      <c r="B39" s="12" t="s">
        <v>419</v>
      </c>
      <c r="C39" s="12" t="s">
        <v>419</v>
      </c>
      <c r="D39" s="12" t="s">
        <v>419</v>
      </c>
      <c r="E39" s="12" t="s">
        <v>419</v>
      </c>
      <c r="F39" s="12" t="s">
        <v>417</v>
      </c>
      <c r="G39" s="12" t="s">
        <v>417</v>
      </c>
      <c r="H39" s="12"/>
      <c r="I39" s="12"/>
      <c r="J39" s="12"/>
      <c r="K39" s="1">
        <f t="shared" si="6"/>
        <v>72</v>
      </c>
      <c r="L39" s="1" t="str">
        <f t="shared" si="7"/>
        <v>OK 72</v>
      </c>
    </row>
    <row r="40" spans="1:12" x14ac:dyDescent="0.3">
      <c r="A40" s="11" t="s">
        <v>49</v>
      </c>
      <c r="B40" s="12" t="s">
        <v>419</v>
      </c>
      <c r="C40" s="12" t="s">
        <v>419</v>
      </c>
      <c r="D40" s="12" t="s">
        <v>419</v>
      </c>
      <c r="E40" s="12" t="s">
        <v>420</v>
      </c>
      <c r="F40" s="12" t="s">
        <v>420</v>
      </c>
      <c r="G40" s="12" t="s">
        <v>420</v>
      </c>
      <c r="H40" s="12"/>
      <c r="I40" s="12"/>
      <c r="J40" s="12"/>
      <c r="K40" s="1">
        <f t="shared" si="6"/>
        <v>72</v>
      </c>
      <c r="L40" s="1" t="str">
        <f t="shared" si="7"/>
        <v>OK 72</v>
      </c>
    </row>
    <row r="41" spans="1:12" x14ac:dyDescent="0.3">
      <c r="A41" s="11" t="s">
        <v>50</v>
      </c>
      <c r="B41" s="12" t="s">
        <v>418</v>
      </c>
      <c r="C41" s="12" t="s">
        <v>418</v>
      </c>
      <c r="D41" s="12" t="s">
        <v>418</v>
      </c>
      <c r="E41" s="12" t="s">
        <v>418</v>
      </c>
      <c r="F41" s="12" t="s">
        <v>418</v>
      </c>
      <c r="G41" s="12" t="s">
        <v>418</v>
      </c>
      <c r="H41" s="12"/>
      <c r="I41" s="12"/>
      <c r="J41" s="12"/>
      <c r="K41" s="1">
        <f t="shared" si="6"/>
        <v>72</v>
      </c>
      <c r="L41" s="1" t="str">
        <f t="shared" si="7"/>
        <v>OK 72</v>
      </c>
    </row>
    <row r="42" spans="1:12" x14ac:dyDescent="0.3">
      <c r="A42" s="11" t="s">
        <v>51</v>
      </c>
      <c r="B42" s="12" t="s">
        <v>418</v>
      </c>
      <c r="C42" s="12" t="s">
        <v>420</v>
      </c>
      <c r="D42" s="12" t="s">
        <v>420</v>
      </c>
      <c r="E42" s="12" t="s">
        <v>420</v>
      </c>
      <c r="F42" s="12" t="s">
        <v>420</v>
      </c>
      <c r="G42" s="12" t="s">
        <v>420</v>
      </c>
      <c r="H42" s="12" t="s">
        <v>420</v>
      </c>
      <c r="I42" s="12"/>
      <c r="J42" s="12"/>
      <c r="K42" s="1">
        <f t="shared" si="6"/>
        <v>72</v>
      </c>
      <c r="L42" s="1" t="str">
        <f t="shared" si="7"/>
        <v>OK 72</v>
      </c>
    </row>
    <row r="43" spans="1:12" x14ac:dyDescent="0.3">
      <c r="A43" s="11" t="s">
        <v>52</v>
      </c>
      <c r="B43" s="12" t="s">
        <v>418</v>
      </c>
      <c r="C43" s="12" t="s">
        <v>420</v>
      </c>
      <c r="D43" s="12" t="s">
        <v>420</v>
      </c>
      <c r="E43" s="12" t="s">
        <v>420</v>
      </c>
      <c r="F43" s="12" t="s">
        <v>420</v>
      </c>
      <c r="G43" s="12" t="s">
        <v>420</v>
      </c>
      <c r="H43" s="12" t="s">
        <v>420</v>
      </c>
      <c r="I43" s="12"/>
      <c r="J43" s="12"/>
      <c r="K43" s="1">
        <f t="shared" si="6"/>
        <v>72</v>
      </c>
      <c r="L43" s="1" t="str">
        <f t="shared" si="7"/>
        <v>OK 72</v>
      </c>
    </row>
    <row r="44" spans="1:12" x14ac:dyDescent="0.3">
      <c r="A44" s="11" t="s">
        <v>53</v>
      </c>
      <c r="B44" s="12"/>
      <c r="C44" s="12"/>
      <c r="D44" s="12"/>
      <c r="E44" s="12"/>
      <c r="F44" s="12"/>
      <c r="G44" s="12"/>
      <c r="H44" s="12"/>
      <c r="I44" s="12"/>
      <c r="J44" s="12"/>
      <c r="K44" s="1">
        <f t="shared" si="6"/>
        <v>0</v>
      </c>
      <c r="L44" s="1" t="str">
        <f t="shared" si="7"/>
        <v>— unused —</v>
      </c>
    </row>
    <row r="45" spans="1:12" x14ac:dyDescent="0.3">
      <c r="A45" s="11" t="s">
        <v>54</v>
      </c>
      <c r="B45" s="12"/>
      <c r="C45" s="12"/>
      <c r="D45" s="12"/>
      <c r="E45" s="12"/>
      <c r="F45" s="12"/>
      <c r="G45" s="12"/>
      <c r="H45" s="12"/>
      <c r="I45" s="12"/>
      <c r="J45" s="12"/>
      <c r="K45" s="1">
        <f t="shared" si="6"/>
        <v>0</v>
      </c>
      <c r="L45" s="1" t="str">
        <f t="shared" si="7"/>
        <v>— unused —</v>
      </c>
    </row>
    <row r="46" spans="1:12" x14ac:dyDescent="0.3">
      <c r="A46" s="11" t="s">
        <v>55</v>
      </c>
      <c r="B46" s="12"/>
      <c r="C46" s="12"/>
      <c r="D46" s="12"/>
      <c r="E46" s="12"/>
      <c r="F46" s="12"/>
      <c r="G46" s="12"/>
      <c r="H46" s="12"/>
      <c r="I46" s="12"/>
      <c r="J46" s="12"/>
      <c r="K46" s="1">
        <f t="shared" si="6"/>
        <v>0</v>
      </c>
      <c r="L46" s="1" t="str">
        <f t="shared" si="7"/>
        <v>— unused —</v>
      </c>
    </row>
    <row r="47" spans="1:12" x14ac:dyDescent="0.3">
      <c r="A47" s="11" t="s">
        <v>56</v>
      </c>
      <c r="B47" s="12"/>
      <c r="C47" s="12"/>
      <c r="D47" s="12"/>
      <c r="E47" s="12"/>
      <c r="F47" s="12"/>
      <c r="G47" s="12"/>
      <c r="H47" s="12"/>
      <c r="I47" s="12"/>
      <c r="J47" s="12"/>
      <c r="K47" s="1">
        <f t="shared" si="6"/>
        <v>0</v>
      </c>
      <c r="L47" s="1" t="str">
        <f t="shared" si="7"/>
        <v>— unused —</v>
      </c>
    </row>
    <row r="49" spans="1:12" x14ac:dyDescent="0.3">
      <c r="A49" s="13" t="s">
        <v>57</v>
      </c>
      <c r="B49" s="54" t="s">
        <v>58</v>
      </c>
      <c r="C49" s="55" t="s">
        <v>59</v>
      </c>
      <c r="D49" s="56" t="s">
        <v>60</v>
      </c>
      <c r="E49" s="57" t="s">
        <v>61</v>
      </c>
      <c r="F49" s="58" t="s">
        <v>62</v>
      </c>
      <c r="G49" s="59" t="s">
        <v>63</v>
      </c>
      <c r="H49" s="60" t="s">
        <v>64</v>
      </c>
    </row>
    <row r="50" spans="1:12" x14ac:dyDescent="0.3">
      <c r="A50" s="13" t="s">
        <v>65</v>
      </c>
      <c r="B50" s="81" t="s">
        <v>15</v>
      </c>
      <c r="C50" s="82" t="s">
        <v>18</v>
      </c>
      <c r="D50" s="83" t="s">
        <v>21</v>
      </c>
      <c r="E50" s="84" t="s">
        <v>66</v>
      </c>
      <c r="F50" s="85" t="s">
        <v>67</v>
      </c>
      <c r="G50" s="86" t="s">
        <v>68</v>
      </c>
      <c r="H50" s="87" t="s">
        <v>69</v>
      </c>
    </row>
    <row r="51" spans="1:12" x14ac:dyDescent="0.3">
      <c r="A51" s="13" t="s">
        <v>70</v>
      </c>
      <c r="B51" s="88" t="s">
        <v>24</v>
      </c>
      <c r="C51" s="89" t="s">
        <v>16</v>
      </c>
      <c r="D51" s="90" t="s">
        <v>71</v>
      </c>
      <c r="E51" s="91" t="s">
        <v>72</v>
      </c>
      <c r="F51" s="92" t="s">
        <v>73</v>
      </c>
      <c r="G51" s="93" t="s">
        <v>22</v>
      </c>
    </row>
    <row r="52" spans="1:12" x14ac:dyDescent="0.3">
      <c r="A52" s="44" t="s">
        <v>74</v>
      </c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</row>
  </sheetData>
  <mergeCells count="24">
    <mergeCell ref="A32:L32"/>
    <mergeCell ref="A52:L52"/>
    <mergeCell ref="J16:K16"/>
    <mergeCell ref="L16:M16"/>
    <mergeCell ref="J17:K17"/>
    <mergeCell ref="L17:M17"/>
    <mergeCell ref="A30:D30"/>
    <mergeCell ref="J13:K13"/>
    <mergeCell ref="L13:M13"/>
    <mergeCell ref="J14:K14"/>
    <mergeCell ref="L14:M14"/>
    <mergeCell ref="J15:K15"/>
    <mergeCell ref="L15:M15"/>
    <mergeCell ref="J10:K10"/>
    <mergeCell ref="L10:M10"/>
    <mergeCell ref="J11:K11"/>
    <mergeCell ref="L11:M11"/>
    <mergeCell ref="J12:K12"/>
    <mergeCell ref="L12:M12"/>
    <mergeCell ref="A1:N1"/>
    <mergeCell ref="A2:N2"/>
    <mergeCell ref="A4:C4"/>
    <mergeCell ref="A8:H8"/>
    <mergeCell ref="J9:M9"/>
  </mergeCells>
  <conditionalFormatting sqref="B10:B29">
    <cfRule type="expression" dxfId="72" priority="28" stopIfTrue="1">
      <formula>$C$7="Yes"</formula>
    </cfRule>
  </conditionalFormatting>
  <conditionalFormatting sqref="B34:J47">
    <cfRule type="expression" dxfId="61" priority="2">
      <formula>AND(B34&lt;&gt;"",IFERROR(MID(B34,FIND("-",B34)+1,FIND("-",B34,FIND("-",B34)+1)-FIND("-",B34)-1),"")="8")</formula>
    </cfRule>
    <cfRule type="expression" dxfId="60" priority="3">
      <formula>AND(B34&lt;&gt;"",IFERROR(MID(B34,FIND("-",B34)+1,FIND("-",B34,FIND("-",B34)+1)-FIND("-",B34)-1),"")="10")</formula>
    </cfRule>
    <cfRule type="expression" dxfId="59" priority="4">
      <formula>AND(B34&lt;&gt;"",IFERROR(MID(B34,FIND("-",B34)+1,FIND("-",B34,FIND("-",B34)+1)-FIND("-",B34)-1),"")="12")</formula>
    </cfRule>
    <cfRule type="expression" dxfId="58" priority="5">
      <formula>AND(B34&lt;&gt;"",IFERROR(MID(B34,FIND("-",B34)+1,FIND("-",B34,FIND("-",B34)+1)-FIND("-",B34)-1),"")="14")</formula>
    </cfRule>
    <cfRule type="expression" dxfId="57" priority="6">
      <formula>AND(B34&lt;&gt;"",IFERROR(MID(B34,FIND("-",B34)+1,FIND("-",B34,FIND("-",B34)+1)-FIND("-",B34)-1),"")="16")</formula>
    </cfRule>
    <cfRule type="expression" dxfId="56" priority="7">
      <formula>AND(B34&lt;&gt;"",IFERROR(MID(B34,FIND("-",B34)+1,FIND("-",B34,FIND("-",B34)+1)-FIND("-",B34)-1),"")="18")</formula>
    </cfRule>
    <cfRule type="expression" dxfId="55" priority="8">
      <formula>AND(B34&lt;&gt;"",IFERROR(MID(B34,FIND("-",B34)+1,FIND("-",B34,FIND("-",B34)+1)-FIND("-",B34)-1),"")="20")</formula>
    </cfRule>
    <cfRule type="expression" dxfId="54" priority="9">
      <formula>AND(B34&lt;&gt;"",IFERROR(LEFT(B34,FIND("-",B34)-1),"")="2x4")</formula>
    </cfRule>
    <cfRule type="expression" dxfId="53" priority="10">
      <formula>AND(B34&lt;&gt;"",IFERROR(LEFT(B34,FIND("-",B34)-1),"")="2x6")</formula>
    </cfRule>
    <cfRule type="expression" dxfId="52" priority="11">
      <formula>AND(B34&lt;&gt;"",IFERROR(LEFT(B34,FIND("-",B34)-1),"")="2x8")</formula>
    </cfRule>
    <cfRule type="expression" dxfId="51" priority="12">
      <formula>AND(B34&lt;&gt;"",IFERROR(LEFT(B34,FIND("-",B34)-1),"")="2x10")</formula>
    </cfRule>
    <cfRule type="expression" dxfId="50" priority="13">
      <formula>AND(B34&lt;&gt;"",IFERROR(LEFT(B34,FIND("-",B34)-1),"")="4x4")</formula>
    </cfRule>
    <cfRule type="expression" dxfId="49" priority="14">
      <formula>AND(B34&lt;&gt;"",IFERROR(LEFT(B34,FIND("-",B34)-1),"")="4x6")</formula>
    </cfRule>
    <cfRule type="expression" dxfId="48" priority="15">
      <formula>AND(B34&lt;&gt;"",IFERROR(LEFT(B34,FIND("-",B34)-1),"")="6x6")</formula>
    </cfRule>
    <cfRule type="expression" dxfId="47" priority="16">
      <formula>AND(B34&lt;&gt;"",IFERROR(MID(B34,FIND("-",B34,FIND("-",B34)+1)+1,9),"")="1")</formula>
    </cfRule>
    <cfRule type="expression" dxfId="46" priority="17">
      <formula>AND(B34&lt;&gt;"",IFERROR(MID(B34,FIND("-",B34,FIND("-",B34)+1)+1,9),"")="2")</formula>
    </cfRule>
    <cfRule type="expression" dxfId="45" priority="18">
      <formula>AND(B34&lt;&gt;"",IFERROR(MID(B34,FIND("-",B34,FIND("-",B34)+1)+1,9),"")="3")</formula>
    </cfRule>
    <cfRule type="expression" dxfId="44" priority="19">
      <formula>AND(B34&lt;&gt;"",IFERROR(MID(B34,FIND("-",B34,FIND("-",B34)+1)+1,9),"")="4")</formula>
    </cfRule>
    <cfRule type="expression" dxfId="43" priority="20">
      <formula>AND(B34&lt;&gt;"",IFERROR(MID(B34,FIND("-",B34,FIND("-",B34)+1)+1,9),"")="2P")</formula>
    </cfRule>
    <cfRule type="expression" dxfId="42" priority="21">
      <formula>AND(B34&lt;&gt;"",IFERROR(MID(B34,FIND("-",B34,FIND("-",B34)+1)+1,9),"")="MSR")</formula>
    </cfRule>
    <cfRule type="expression" dxfId="41" priority="22">
      <formula>ROW()-33&gt;$C$5</formula>
    </cfRule>
  </conditionalFormatting>
  <conditionalFormatting sqref="D10:D29">
    <cfRule type="expression" dxfId="71" priority="29" stopIfTrue="1">
      <formula>$C$7="Yes"</formula>
    </cfRule>
  </conditionalFormatting>
  <conditionalFormatting sqref="H10:H29">
    <cfRule type="cellIs" dxfId="70" priority="27" operator="lessThan">
      <formula>0</formula>
    </cfRule>
  </conditionalFormatting>
  <conditionalFormatting sqref="L34:L47">
    <cfRule type="expression" dxfId="69" priority="23">
      <formula>LEFT(L34,2)="OK"</formula>
    </cfRule>
    <cfRule type="expression" dxfId="68" priority="24">
      <formula>LEFT(L34,4)="OVER"</formula>
    </cfRule>
    <cfRule type="expression" dxfId="67" priority="25">
      <formula>LEFT(L34,5)="SHORT"</formula>
    </cfRule>
    <cfRule type="expression" dxfId="66" priority="26">
      <formula>L34="— unused —"</formula>
    </cfRule>
  </conditionalFormatting>
  <dataValidations count="7">
    <dataValidation type="list" sqref="C5" xr:uid="{00000000-0002-0000-0000-000000000000}">
      <formula1>"10,14"</formula1>
      <formula2>0</formula2>
    </dataValidation>
    <dataValidation type="list" allowBlank="1" sqref="B10:B29" xr:uid="{00000000-0002-0000-0000-000001000000}">
      <formula1>"2x4,2x6,2x8,2x10,4x4,4x6,6x6"</formula1>
      <formula2>0</formula2>
    </dataValidation>
    <dataValidation type="list" allowBlank="1" sqref="C10:C29" xr:uid="{00000000-0002-0000-0000-000002000000}">
      <formula1>"8,10,12,14,16,18,20"</formula1>
      <formula2>0</formula2>
    </dataValidation>
    <dataValidation type="list" allowBlank="1" sqref="D10:D29" xr:uid="{00000000-0002-0000-0000-000003000000}">
      <formula1>"1,2,3,4,2P,MSR"</formula1>
      <formula2>0</formula2>
    </dataValidation>
    <dataValidation type="list" allowBlank="1" showInputMessage="1" showErrorMessage="1" sqref="C7" xr:uid="{7ED32BD7-ACBD-451E-BDA0-E7963DE9BF1E}">
      <formula1>"Yes,No"</formula1>
    </dataValidation>
    <dataValidation type="list" allowBlank="1" showInputMessage="1" showErrorMessage="1" sqref="G5" xr:uid="{15E80CEC-A9AC-4997-9A28-B7367B04C2AF}">
      <formula1>"2x4,2x6,2x8,2x10,4x4,4x6,6x6"</formula1>
    </dataValidation>
    <dataValidation type="list" allowBlank="1" showInputMessage="1" showErrorMessage="1" sqref="G6" xr:uid="{7694FD0B-905D-47E7-BDA2-A2F2CB181658}">
      <formula1>"1,2,3,4,2P,MSR"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73"/>
  <sheetViews>
    <sheetView showGridLines="0" zoomScaleNormal="100" workbookViewId="0"/>
  </sheetViews>
  <sheetFormatPr defaultColWidth="8.6640625" defaultRowHeight="14.4" x14ac:dyDescent="0.3"/>
  <cols>
    <col min="1" max="1" width="9" customWidth="1"/>
    <col min="2" max="4" width="11" customWidth="1"/>
    <col min="5" max="5" width="13" customWidth="1"/>
    <col min="6" max="10" width="11" customWidth="1"/>
    <col min="11" max="11" width="7" customWidth="1"/>
    <col min="12" max="12" width="13" customWidth="1"/>
  </cols>
  <sheetData>
    <row r="1" spans="1:12" ht="19.2" x14ac:dyDescent="0.35">
      <c r="A1" s="50" t="s">
        <v>75</v>
      </c>
      <c r="B1" s="50"/>
      <c r="C1" s="50"/>
      <c r="D1" s="50"/>
      <c r="E1" s="50"/>
      <c r="F1" s="50"/>
    </row>
    <row r="2" spans="1:12" x14ac:dyDescent="0.3">
      <c r="A2" s="44" t="s">
        <v>76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</row>
    <row r="4" spans="1:12" x14ac:dyDescent="0.3">
      <c r="A4" s="2" t="s">
        <v>77</v>
      </c>
      <c r="B4" t="s">
        <v>78</v>
      </c>
    </row>
    <row r="5" spans="1:12" x14ac:dyDescent="0.3">
      <c r="A5" s="2" t="s">
        <v>79</v>
      </c>
      <c r="B5">
        <f>Planner!C5</f>
        <v>10</v>
      </c>
    </row>
    <row r="6" spans="1:12" x14ac:dyDescent="0.3">
      <c r="A6" s="2" t="s">
        <v>17</v>
      </c>
      <c r="B6">
        <f>Planner!F30</f>
        <v>720</v>
      </c>
    </row>
    <row r="7" spans="1:12" x14ac:dyDescent="0.3">
      <c r="A7" s="2" t="s">
        <v>80</v>
      </c>
      <c r="B7" s="21">
        <f ca="1">TODAY()</f>
        <v>46188</v>
      </c>
    </row>
    <row r="8" spans="1:12" x14ac:dyDescent="0.3">
      <c r="A8" s="2" t="s">
        <v>81</v>
      </c>
      <c r="B8" s="22" t="s">
        <v>82</v>
      </c>
    </row>
    <row r="10" spans="1:12" x14ac:dyDescent="0.3">
      <c r="A10" s="13" t="s">
        <v>57</v>
      </c>
      <c r="B10" s="54" t="s">
        <v>58</v>
      </c>
      <c r="C10" s="55" t="s">
        <v>59</v>
      </c>
      <c r="D10" s="56" t="s">
        <v>60</v>
      </c>
      <c r="E10" s="57" t="s">
        <v>61</v>
      </c>
      <c r="F10" s="58" t="s">
        <v>62</v>
      </c>
      <c r="G10" s="59" t="s">
        <v>63</v>
      </c>
      <c r="H10" s="60" t="s">
        <v>64</v>
      </c>
    </row>
    <row r="11" spans="1:12" x14ac:dyDescent="0.3">
      <c r="A11" s="13" t="s">
        <v>65</v>
      </c>
      <c r="B11" s="14" t="s">
        <v>15</v>
      </c>
      <c r="C11" s="15" t="s">
        <v>18</v>
      </c>
      <c r="D11" s="16" t="s">
        <v>21</v>
      </c>
      <c r="E11" s="17" t="s">
        <v>66</v>
      </c>
      <c r="F11" s="18" t="s">
        <v>67</v>
      </c>
      <c r="G11" s="19" t="s">
        <v>68</v>
      </c>
      <c r="H11" s="20" t="s">
        <v>69</v>
      </c>
    </row>
    <row r="12" spans="1:12" x14ac:dyDescent="0.3">
      <c r="A12" s="13" t="s">
        <v>83</v>
      </c>
      <c r="B12" s="61" t="s">
        <v>24</v>
      </c>
      <c r="C12" s="62" t="s">
        <v>16</v>
      </c>
      <c r="D12" s="63" t="s">
        <v>71</v>
      </c>
      <c r="E12" s="64" t="s">
        <v>72</v>
      </c>
      <c r="F12" s="65" t="s">
        <v>73</v>
      </c>
      <c r="G12" s="66" t="s">
        <v>22</v>
      </c>
    </row>
    <row r="13" spans="1:12" x14ac:dyDescent="0.3">
      <c r="A13" s="45" t="s">
        <v>84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</row>
    <row r="14" spans="1:12" x14ac:dyDescent="0.3">
      <c r="A14" s="6" t="s">
        <v>31</v>
      </c>
      <c r="B14" s="6" t="s">
        <v>32</v>
      </c>
      <c r="C14" s="6" t="s">
        <v>33</v>
      </c>
      <c r="D14" s="6" t="s">
        <v>34</v>
      </c>
      <c r="E14" s="6" t="s">
        <v>35</v>
      </c>
      <c r="F14" s="6" t="s">
        <v>36</v>
      </c>
      <c r="G14" s="6" t="s">
        <v>37</v>
      </c>
      <c r="H14" s="6" t="s">
        <v>38</v>
      </c>
      <c r="I14" s="6" t="s">
        <v>39</v>
      </c>
      <c r="J14" s="6" t="s">
        <v>40</v>
      </c>
      <c r="K14" s="6" t="s">
        <v>41</v>
      </c>
      <c r="L14" s="6" t="s">
        <v>85</v>
      </c>
    </row>
    <row r="15" spans="1:12" x14ac:dyDescent="0.3">
      <c r="A15" s="11" t="s">
        <v>43</v>
      </c>
      <c r="B15" s="12" t="str">
        <f>IF(Planner!B34="","",Planner!B34)</f>
        <v>2x6-16-2</v>
      </c>
      <c r="C15" s="12" t="str">
        <f>IF(Planner!C34="","",Planner!C34)</f>
        <v>2x6-16-2</v>
      </c>
      <c r="D15" s="12" t="str">
        <f>IF(Planner!D34="","",Planner!D34)</f>
        <v>2x6-16-2</v>
      </c>
      <c r="E15" s="12" t="str">
        <f>IF(Planner!E34="","",Planner!E34)</f>
        <v>2x6-16-2</v>
      </c>
      <c r="F15" s="12" t="str">
        <f>IF(Planner!F34="","",Planner!F34)</f>
        <v>2x6-8-2</v>
      </c>
      <c r="G15" s="12" t="str">
        <f>IF(Planner!G34="","",Planner!G34)</f>
        <v/>
      </c>
      <c r="H15" s="12" t="str">
        <f>IF(Planner!H34="","",Planner!H34)</f>
        <v/>
      </c>
      <c r="I15" s="12" t="str">
        <f>IF(Planner!I34="","",Planner!I34)</f>
        <v/>
      </c>
      <c r="J15" s="12" t="str">
        <f>IF(Planner!J34="","",Planner!J34)</f>
        <v/>
      </c>
      <c r="K15" s="1">
        <f>IF(Planner!K34=0,"",Planner!K34)</f>
        <v>72</v>
      </c>
      <c r="L15" s="9" t="str">
        <f>Planner!L34</f>
        <v>OK 72</v>
      </c>
    </row>
    <row r="16" spans="1:12" x14ac:dyDescent="0.3">
      <c r="A16" s="11" t="s">
        <v>44</v>
      </c>
      <c r="B16" s="12" t="str">
        <f>IF(Planner!B35="","",Planner!B35)</f>
        <v>2x6-16-2</v>
      </c>
      <c r="C16" s="12" t="str">
        <f>IF(Planner!C35="","",Planner!C35)</f>
        <v>2x6-16-2</v>
      </c>
      <c r="D16" s="12" t="str">
        <f>IF(Planner!D35="","",Planner!D35)</f>
        <v>2x6-16-2</v>
      </c>
      <c r="E16" s="12" t="str">
        <f>IF(Planner!E35="","",Planner!E35)</f>
        <v>2x6-16-2</v>
      </c>
      <c r="F16" s="12" t="str">
        <f>IF(Planner!F35="","",Planner!F35)</f>
        <v>2x6-8-2</v>
      </c>
      <c r="G16" s="12" t="str">
        <f>IF(Planner!G35="","",Planner!G35)</f>
        <v/>
      </c>
      <c r="H16" s="12" t="str">
        <f>IF(Planner!H35="","",Planner!H35)</f>
        <v/>
      </c>
      <c r="I16" s="12" t="str">
        <f>IF(Planner!I35="","",Planner!I35)</f>
        <v/>
      </c>
      <c r="J16" s="12" t="str">
        <f>IF(Planner!J35="","",Planner!J35)</f>
        <v/>
      </c>
      <c r="K16" s="1">
        <f>IF(Planner!K35=0,"",Planner!K35)</f>
        <v>72</v>
      </c>
      <c r="L16" s="9" t="str">
        <f>Planner!L35</f>
        <v>OK 72</v>
      </c>
    </row>
    <row r="17" spans="1:12" x14ac:dyDescent="0.3">
      <c r="A17" s="11" t="s">
        <v>45</v>
      </c>
      <c r="B17" s="12" t="str">
        <f>IF(Planner!B36="","",Planner!B36)</f>
        <v>2x6-16-2</v>
      </c>
      <c r="C17" s="12" t="str">
        <f>IF(Planner!C36="","",Planner!C36)</f>
        <v>2x6-16-2</v>
      </c>
      <c r="D17" s="12" t="str">
        <f>IF(Planner!D36="","",Planner!D36)</f>
        <v>2x6-16-2</v>
      </c>
      <c r="E17" s="12" t="str">
        <f>IF(Planner!E36="","",Planner!E36)</f>
        <v>2x6-16-2</v>
      </c>
      <c r="F17" s="12" t="str">
        <f>IF(Planner!F36="","",Planner!F36)</f>
        <v>2x6-8-2</v>
      </c>
      <c r="G17" s="12" t="str">
        <f>IF(Planner!G36="","",Planner!G36)</f>
        <v/>
      </c>
      <c r="H17" s="12" t="str">
        <f>IF(Planner!H36="","",Planner!H36)</f>
        <v/>
      </c>
      <c r="I17" s="12" t="str">
        <f>IF(Planner!I36="","",Planner!I36)</f>
        <v/>
      </c>
      <c r="J17" s="12" t="str">
        <f>IF(Planner!J36="","",Planner!J36)</f>
        <v/>
      </c>
      <c r="K17" s="1">
        <f>IF(Planner!K36=0,"",Planner!K36)</f>
        <v>72</v>
      </c>
      <c r="L17" s="9" t="str">
        <f>Planner!L36</f>
        <v>OK 72</v>
      </c>
    </row>
    <row r="18" spans="1:12" x14ac:dyDescent="0.3">
      <c r="A18" s="11" t="s">
        <v>46</v>
      </c>
      <c r="B18" s="12" t="str">
        <f>IF(Planner!B37="","",Planner!B37)</f>
        <v>2x6-16-2</v>
      </c>
      <c r="C18" s="12" t="str">
        <f>IF(Planner!C37="","",Planner!C37)</f>
        <v>2x6-16-2</v>
      </c>
      <c r="D18" s="12" t="str">
        <f>IF(Planner!D37="","",Planner!D37)</f>
        <v>2x6-16-2</v>
      </c>
      <c r="E18" s="12" t="str">
        <f>IF(Planner!E37="","",Planner!E37)</f>
        <v>2x6-12-2</v>
      </c>
      <c r="F18" s="12" t="str">
        <f>IF(Planner!F37="","",Planner!F37)</f>
        <v>2x6-12-2</v>
      </c>
      <c r="G18" s="12" t="str">
        <f>IF(Planner!G37="","",Planner!G37)</f>
        <v/>
      </c>
      <c r="H18" s="12" t="str">
        <f>IF(Planner!H37="","",Planner!H37)</f>
        <v/>
      </c>
      <c r="I18" s="12" t="str">
        <f>IF(Planner!I37="","",Planner!I37)</f>
        <v/>
      </c>
      <c r="J18" s="12" t="str">
        <f>IF(Planner!J37="","",Planner!J37)</f>
        <v/>
      </c>
      <c r="K18" s="1">
        <f>IF(Planner!K37=0,"",Planner!K37)</f>
        <v>72</v>
      </c>
      <c r="L18" s="9" t="str">
        <f>Planner!L37</f>
        <v>OK 72</v>
      </c>
    </row>
    <row r="19" spans="1:12" x14ac:dyDescent="0.3">
      <c r="A19" s="11" t="s">
        <v>47</v>
      </c>
      <c r="B19" s="12" t="str">
        <f>IF(Planner!B38="","",Planner!B38)</f>
        <v>2x6-14-2</v>
      </c>
      <c r="C19" s="12" t="str">
        <f>IF(Planner!C38="","",Planner!C38)</f>
        <v>2x6-14-2</v>
      </c>
      <c r="D19" s="12" t="str">
        <f>IF(Planner!D38="","",Planner!D38)</f>
        <v>2x6-14-2</v>
      </c>
      <c r="E19" s="12" t="str">
        <f>IF(Planner!E38="","",Planner!E38)</f>
        <v>2x6-14-2</v>
      </c>
      <c r="F19" s="12" t="str">
        <f>IF(Planner!F38="","",Planner!F38)</f>
        <v>2x6-8-2</v>
      </c>
      <c r="G19" s="12" t="str">
        <f>IF(Planner!G38="","",Planner!G38)</f>
        <v>2x6-8-2</v>
      </c>
      <c r="H19" s="12" t="str">
        <f>IF(Planner!H38="","",Planner!H38)</f>
        <v/>
      </c>
      <c r="I19" s="12" t="str">
        <f>IF(Planner!I38="","",Planner!I38)</f>
        <v/>
      </c>
      <c r="J19" s="12" t="str">
        <f>IF(Planner!J38="","",Planner!J38)</f>
        <v/>
      </c>
      <c r="K19" s="1">
        <f>IF(Planner!K38=0,"",Planner!K38)</f>
        <v>72</v>
      </c>
      <c r="L19" s="9" t="str">
        <f>Planner!L38</f>
        <v>OK 72</v>
      </c>
    </row>
    <row r="20" spans="1:12" x14ac:dyDescent="0.3">
      <c r="A20" s="11" t="s">
        <v>48</v>
      </c>
      <c r="B20" s="12" t="str">
        <f>IF(Planner!B39="","",Planner!B39)</f>
        <v>2x6-14-2</v>
      </c>
      <c r="C20" s="12" t="str">
        <f>IF(Planner!C39="","",Planner!C39)</f>
        <v>2x6-14-2</v>
      </c>
      <c r="D20" s="12" t="str">
        <f>IF(Planner!D39="","",Planner!D39)</f>
        <v>2x6-14-2</v>
      </c>
      <c r="E20" s="12" t="str">
        <f>IF(Planner!E39="","",Planner!E39)</f>
        <v>2x6-14-2</v>
      </c>
      <c r="F20" s="12" t="str">
        <f>IF(Planner!F39="","",Planner!F39)</f>
        <v>2x6-8-2</v>
      </c>
      <c r="G20" s="12" t="str">
        <f>IF(Planner!G39="","",Planner!G39)</f>
        <v>2x6-8-2</v>
      </c>
      <c r="H20" s="12" t="str">
        <f>IF(Planner!H39="","",Planner!H39)</f>
        <v/>
      </c>
      <c r="I20" s="12" t="str">
        <f>IF(Planner!I39="","",Planner!I39)</f>
        <v/>
      </c>
      <c r="J20" s="12" t="str">
        <f>IF(Planner!J39="","",Planner!J39)</f>
        <v/>
      </c>
      <c r="K20" s="1">
        <f>IF(Planner!K39=0,"",Planner!K39)</f>
        <v>72</v>
      </c>
      <c r="L20" s="9" t="str">
        <f>Planner!L39</f>
        <v>OK 72</v>
      </c>
    </row>
    <row r="21" spans="1:12" x14ac:dyDescent="0.3">
      <c r="A21" s="11" t="s">
        <v>49</v>
      </c>
      <c r="B21" s="12" t="str">
        <f>IF(Planner!B40="","",Planner!B40)</f>
        <v>2x6-14-2</v>
      </c>
      <c r="C21" s="12" t="str">
        <f>IF(Planner!C40="","",Planner!C40)</f>
        <v>2x6-14-2</v>
      </c>
      <c r="D21" s="12" t="str">
        <f>IF(Planner!D40="","",Planner!D40)</f>
        <v>2x6-14-2</v>
      </c>
      <c r="E21" s="12" t="str">
        <f>IF(Planner!E40="","",Planner!E40)</f>
        <v>2x6-10-2</v>
      </c>
      <c r="F21" s="12" t="str">
        <f>IF(Planner!F40="","",Planner!F40)</f>
        <v>2x6-10-2</v>
      </c>
      <c r="G21" s="12" t="str">
        <f>IF(Planner!G40="","",Planner!G40)</f>
        <v>2x6-10-2</v>
      </c>
      <c r="H21" s="12" t="str">
        <f>IF(Planner!H40="","",Planner!H40)</f>
        <v/>
      </c>
      <c r="I21" s="12" t="str">
        <f>IF(Planner!I40="","",Planner!I40)</f>
        <v/>
      </c>
      <c r="J21" s="12" t="str">
        <f>IF(Planner!J40="","",Planner!J40)</f>
        <v/>
      </c>
      <c r="K21" s="1">
        <f>IF(Planner!K40=0,"",Planner!K40)</f>
        <v>72</v>
      </c>
      <c r="L21" s="9" t="str">
        <f>Planner!L40</f>
        <v>OK 72</v>
      </c>
    </row>
    <row r="22" spans="1:12" x14ac:dyDescent="0.3">
      <c r="A22" s="11" t="s">
        <v>50</v>
      </c>
      <c r="B22" s="12" t="str">
        <f>IF(Planner!B41="","",Planner!B41)</f>
        <v>2x6-12-2</v>
      </c>
      <c r="C22" s="12" t="str">
        <f>IF(Planner!C41="","",Planner!C41)</f>
        <v>2x6-12-2</v>
      </c>
      <c r="D22" s="12" t="str">
        <f>IF(Planner!D41="","",Planner!D41)</f>
        <v>2x6-12-2</v>
      </c>
      <c r="E22" s="12" t="str">
        <f>IF(Planner!E41="","",Planner!E41)</f>
        <v>2x6-12-2</v>
      </c>
      <c r="F22" s="12" t="str">
        <f>IF(Planner!F41="","",Planner!F41)</f>
        <v>2x6-12-2</v>
      </c>
      <c r="G22" s="12" t="str">
        <f>IF(Planner!G41="","",Planner!G41)</f>
        <v>2x6-12-2</v>
      </c>
      <c r="H22" s="12" t="str">
        <f>IF(Planner!H41="","",Planner!H41)</f>
        <v/>
      </c>
      <c r="I22" s="12" t="str">
        <f>IF(Planner!I41="","",Planner!I41)</f>
        <v/>
      </c>
      <c r="J22" s="12" t="str">
        <f>IF(Planner!J41="","",Planner!J41)</f>
        <v/>
      </c>
      <c r="K22" s="1">
        <f>IF(Planner!K41=0,"",Planner!K41)</f>
        <v>72</v>
      </c>
      <c r="L22" s="9" t="str">
        <f>Planner!L41</f>
        <v>OK 72</v>
      </c>
    </row>
    <row r="23" spans="1:12" x14ac:dyDescent="0.3">
      <c r="A23" s="11" t="s">
        <v>51</v>
      </c>
      <c r="B23" s="12" t="str">
        <f>IF(Planner!B42="","",Planner!B42)</f>
        <v>2x6-12-2</v>
      </c>
      <c r="C23" s="12" t="str">
        <f>IF(Planner!C42="","",Planner!C42)</f>
        <v>2x6-10-2</v>
      </c>
      <c r="D23" s="12" t="str">
        <f>IF(Planner!D42="","",Planner!D42)</f>
        <v>2x6-10-2</v>
      </c>
      <c r="E23" s="12" t="str">
        <f>IF(Planner!E42="","",Planner!E42)</f>
        <v>2x6-10-2</v>
      </c>
      <c r="F23" s="12" t="str">
        <f>IF(Planner!F42="","",Planner!F42)</f>
        <v>2x6-10-2</v>
      </c>
      <c r="G23" s="12" t="str">
        <f>IF(Planner!G42="","",Planner!G42)</f>
        <v>2x6-10-2</v>
      </c>
      <c r="H23" s="12" t="str">
        <f>IF(Planner!H42="","",Planner!H42)</f>
        <v>2x6-10-2</v>
      </c>
      <c r="I23" s="12" t="str">
        <f>IF(Planner!I42="","",Planner!I42)</f>
        <v/>
      </c>
      <c r="J23" s="12" t="str">
        <f>IF(Planner!J42="","",Planner!J42)</f>
        <v/>
      </c>
      <c r="K23" s="1">
        <f>IF(Planner!K42=0,"",Planner!K42)</f>
        <v>72</v>
      </c>
      <c r="L23" s="9" t="str">
        <f>Planner!L42</f>
        <v>OK 72</v>
      </c>
    </row>
    <row r="24" spans="1:12" x14ac:dyDescent="0.3">
      <c r="A24" s="11" t="s">
        <v>52</v>
      </c>
      <c r="B24" s="12" t="str">
        <f>IF(Planner!B43="","",Planner!B43)</f>
        <v>2x6-12-2</v>
      </c>
      <c r="C24" s="12" t="str">
        <f>IF(Planner!C43="","",Planner!C43)</f>
        <v>2x6-10-2</v>
      </c>
      <c r="D24" s="12" t="str">
        <f>IF(Planner!D43="","",Planner!D43)</f>
        <v>2x6-10-2</v>
      </c>
      <c r="E24" s="12" t="str">
        <f>IF(Planner!E43="","",Planner!E43)</f>
        <v>2x6-10-2</v>
      </c>
      <c r="F24" s="12" t="str">
        <f>IF(Planner!F43="","",Planner!F43)</f>
        <v>2x6-10-2</v>
      </c>
      <c r="G24" s="12" t="str">
        <f>IF(Planner!G43="","",Planner!G43)</f>
        <v>2x6-10-2</v>
      </c>
      <c r="H24" s="12" t="str">
        <f>IF(Planner!H43="","",Planner!H43)</f>
        <v>2x6-10-2</v>
      </c>
      <c r="I24" s="12" t="str">
        <f>IF(Planner!I43="","",Planner!I43)</f>
        <v/>
      </c>
      <c r="J24" s="12" t="str">
        <f>IF(Planner!J43="","",Planner!J43)</f>
        <v/>
      </c>
      <c r="K24" s="1">
        <f>IF(Planner!K43=0,"",Planner!K43)</f>
        <v>72</v>
      </c>
      <c r="L24" s="9" t="str">
        <f>Planner!L43</f>
        <v>OK 72</v>
      </c>
    </row>
    <row r="25" spans="1:12" x14ac:dyDescent="0.3">
      <c r="A25" s="11" t="s">
        <v>53</v>
      </c>
      <c r="B25" s="12" t="str">
        <f>IF(Planner!B44="","",Planner!B44)</f>
        <v/>
      </c>
      <c r="C25" s="12" t="str">
        <f>IF(Planner!C44="","",Planner!C44)</f>
        <v/>
      </c>
      <c r="D25" s="12" t="str">
        <f>IF(Planner!D44="","",Planner!D44)</f>
        <v/>
      </c>
      <c r="E25" s="12" t="str">
        <f>IF(Planner!E44="","",Planner!E44)</f>
        <v/>
      </c>
      <c r="F25" s="12" t="str">
        <f>IF(Planner!F44="","",Planner!F44)</f>
        <v/>
      </c>
      <c r="G25" s="12" t="str">
        <f>IF(Planner!G44="","",Planner!G44)</f>
        <v/>
      </c>
      <c r="H25" s="12" t="str">
        <f>IF(Planner!H44="","",Planner!H44)</f>
        <v/>
      </c>
      <c r="I25" s="12" t="str">
        <f>IF(Planner!I44="","",Planner!I44)</f>
        <v/>
      </c>
      <c r="J25" s="12" t="str">
        <f>IF(Planner!J44="","",Planner!J44)</f>
        <v/>
      </c>
      <c r="K25" s="1" t="str">
        <f>IF(Planner!K44=0,"",Planner!K44)</f>
        <v/>
      </c>
      <c r="L25" s="9" t="str">
        <f>Planner!L44</f>
        <v>— unused —</v>
      </c>
    </row>
    <row r="26" spans="1:12" x14ac:dyDescent="0.3">
      <c r="A26" s="11" t="s">
        <v>54</v>
      </c>
      <c r="B26" s="12" t="str">
        <f>IF(Planner!B45="","",Planner!B45)</f>
        <v/>
      </c>
      <c r="C26" s="12" t="str">
        <f>IF(Planner!C45="","",Planner!C45)</f>
        <v/>
      </c>
      <c r="D26" s="12" t="str">
        <f>IF(Planner!D45="","",Planner!D45)</f>
        <v/>
      </c>
      <c r="E26" s="12" t="str">
        <f>IF(Planner!E45="","",Planner!E45)</f>
        <v/>
      </c>
      <c r="F26" s="12" t="str">
        <f>IF(Planner!F45="","",Planner!F45)</f>
        <v/>
      </c>
      <c r="G26" s="12" t="str">
        <f>IF(Planner!G45="","",Planner!G45)</f>
        <v/>
      </c>
      <c r="H26" s="12" t="str">
        <f>IF(Planner!H45="","",Planner!H45)</f>
        <v/>
      </c>
      <c r="I26" s="12" t="str">
        <f>IF(Planner!I45="","",Planner!I45)</f>
        <v/>
      </c>
      <c r="J26" s="12" t="str">
        <f>IF(Planner!J45="","",Planner!J45)</f>
        <v/>
      </c>
      <c r="K26" s="1" t="str">
        <f>IF(Planner!K45=0,"",Planner!K45)</f>
        <v/>
      </c>
      <c r="L26" s="9" t="str">
        <f>Planner!L45</f>
        <v>— unused —</v>
      </c>
    </row>
    <row r="27" spans="1:12" x14ac:dyDescent="0.3">
      <c r="A27" s="11" t="s">
        <v>55</v>
      </c>
      <c r="B27" s="12" t="str">
        <f>IF(Planner!B46="","",Planner!B46)</f>
        <v/>
      </c>
      <c r="C27" s="12" t="str">
        <f>IF(Planner!C46="","",Planner!C46)</f>
        <v/>
      </c>
      <c r="D27" s="12" t="str">
        <f>IF(Planner!D46="","",Planner!D46)</f>
        <v/>
      </c>
      <c r="E27" s="12" t="str">
        <f>IF(Planner!E46="","",Planner!E46)</f>
        <v/>
      </c>
      <c r="F27" s="12" t="str">
        <f>IF(Planner!F46="","",Planner!F46)</f>
        <v/>
      </c>
      <c r="G27" s="12" t="str">
        <f>IF(Planner!G46="","",Planner!G46)</f>
        <v/>
      </c>
      <c r="H27" s="12" t="str">
        <f>IF(Planner!H46="","",Planner!H46)</f>
        <v/>
      </c>
      <c r="I27" s="12" t="str">
        <f>IF(Planner!I46="","",Planner!I46)</f>
        <v/>
      </c>
      <c r="J27" s="12" t="str">
        <f>IF(Planner!J46="","",Planner!J46)</f>
        <v/>
      </c>
      <c r="K27" s="1" t="str">
        <f>IF(Planner!K46=0,"",Planner!K46)</f>
        <v/>
      </c>
      <c r="L27" s="9" t="str">
        <f>Planner!L46</f>
        <v>— unused —</v>
      </c>
    </row>
    <row r="28" spans="1:12" x14ac:dyDescent="0.3">
      <c r="A28" s="11" t="s">
        <v>56</v>
      </c>
      <c r="B28" s="12" t="str">
        <f>IF(Planner!B47="","",Planner!B47)</f>
        <v/>
      </c>
      <c r="C28" s="12" t="str">
        <f>IF(Planner!C47="","",Planner!C47)</f>
        <v/>
      </c>
      <c r="D28" s="12" t="str">
        <f>IF(Planner!D47="","",Planner!D47)</f>
        <v/>
      </c>
      <c r="E28" s="12" t="str">
        <f>IF(Planner!E47="","",Planner!E47)</f>
        <v/>
      </c>
      <c r="F28" s="12" t="str">
        <f>IF(Planner!F47="","",Planner!F47)</f>
        <v/>
      </c>
      <c r="G28" s="12" t="str">
        <f>IF(Planner!G47="","",Planner!G47)</f>
        <v/>
      </c>
      <c r="H28" s="12" t="str">
        <f>IF(Planner!H47="","",Planner!H47)</f>
        <v/>
      </c>
      <c r="I28" s="12" t="str">
        <f>IF(Planner!I47="","",Planner!I47)</f>
        <v/>
      </c>
      <c r="J28" s="12" t="str">
        <f>IF(Planner!J47="","",Planner!J47)</f>
        <v/>
      </c>
      <c r="K28" s="1" t="str">
        <f>IF(Planner!K47=0,"",Planner!K47)</f>
        <v/>
      </c>
      <c r="L28" s="9" t="str">
        <f>Planner!L47</f>
        <v>— unused —</v>
      </c>
    </row>
    <row r="30" spans="1:12" x14ac:dyDescent="0.3">
      <c r="A30" s="45" t="s">
        <v>86</v>
      </c>
      <c r="B30" s="45"/>
      <c r="C30" s="45"/>
      <c r="E30" s="45" t="s">
        <v>87</v>
      </c>
      <c r="F30" s="45"/>
      <c r="G30" s="45"/>
    </row>
    <row r="31" spans="1:12" x14ac:dyDescent="0.3">
      <c r="A31" s="6" t="s">
        <v>7</v>
      </c>
      <c r="B31" s="6" t="s">
        <v>88</v>
      </c>
      <c r="C31" s="6" t="s">
        <v>89</v>
      </c>
      <c r="E31" s="6" t="s">
        <v>9</v>
      </c>
      <c r="F31" s="6" t="s">
        <v>88</v>
      </c>
      <c r="G31" s="6" t="s">
        <v>89</v>
      </c>
    </row>
    <row r="32" spans="1:12" x14ac:dyDescent="0.3">
      <c r="A32" s="67" t="s">
        <v>15</v>
      </c>
      <c r="B32" s="9">
        <f>SUMIF(Planner!$B$10:$B$29,"2x4",Planner!$G$10:$G$29)</f>
        <v>0</v>
      </c>
      <c r="C32" s="9">
        <f>SUMIF(Planner!$B$10:$B$29,"2x4",Planner!$I$10:$I$29)</f>
        <v>0</v>
      </c>
      <c r="E32" s="23" t="s">
        <v>24</v>
      </c>
      <c r="F32" s="9">
        <f>SUMIF(Planner!$D$10:$D$29,"1",Planner!$G$10:$G$29)</f>
        <v>0</v>
      </c>
      <c r="G32" s="9">
        <f>SUMIF(Planner!$D$10:$D$29,"1",Planner!$I$10:$I$29)</f>
        <v>0</v>
      </c>
    </row>
    <row r="33" spans="1:8" x14ac:dyDescent="0.3">
      <c r="A33" s="68" t="s">
        <v>18</v>
      </c>
      <c r="B33" s="9">
        <f>SUMIF(Planner!$B$10:$B$29,"2x6",Planner!$G$10:$G$29)</f>
        <v>58</v>
      </c>
      <c r="C33" s="9">
        <f>SUMIF(Planner!$B$10:$B$29,"2x6",Planner!$I$10:$I$29)</f>
        <v>720</v>
      </c>
      <c r="E33" s="24" t="s">
        <v>16</v>
      </c>
      <c r="F33" s="9">
        <f>SUMIF(Planner!$D$10:$D$29,"2",Planner!$G$10:$G$29)</f>
        <v>58</v>
      </c>
      <c r="G33" s="9">
        <f>SUMIF(Planner!$D$10:$D$29,"2",Planner!$I$10:$I$29)</f>
        <v>720</v>
      </c>
    </row>
    <row r="34" spans="1:8" x14ac:dyDescent="0.3">
      <c r="A34" s="69" t="s">
        <v>21</v>
      </c>
      <c r="B34" s="9">
        <f>SUMIF(Planner!$B$10:$B$29,"2x8",Planner!$G$10:$G$29)</f>
        <v>0</v>
      </c>
      <c r="C34" s="9">
        <f>SUMIF(Planner!$B$10:$B$29,"2x8",Planner!$I$10:$I$29)</f>
        <v>0</v>
      </c>
      <c r="E34" s="25" t="s">
        <v>71</v>
      </c>
      <c r="F34" s="9">
        <f>SUMIF(Planner!$D$10:$D$29,"3",Planner!$G$10:$G$29)</f>
        <v>0</v>
      </c>
      <c r="G34" s="9">
        <f>SUMIF(Planner!$D$10:$D$29,"3",Planner!$I$10:$I$29)</f>
        <v>0</v>
      </c>
    </row>
    <row r="35" spans="1:8" x14ac:dyDescent="0.3">
      <c r="A35" s="70" t="s">
        <v>66</v>
      </c>
      <c r="B35" s="9">
        <f>SUMIF(Planner!$B$10:$B$29,"2x10",Planner!$G$10:$G$29)</f>
        <v>0</v>
      </c>
      <c r="C35" s="9">
        <f>SUMIF(Planner!$B$10:$B$29,"2x10",Planner!$I$10:$I$29)</f>
        <v>0</v>
      </c>
      <c r="E35" s="26" t="s">
        <v>72</v>
      </c>
      <c r="F35" s="9">
        <f>SUMIF(Planner!$D$10:$D$29,"4",Planner!$G$10:$G$29)</f>
        <v>0</v>
      </c>
      <c r="G35" s="9">
        <f>SUMIF(Planner!$D$10:$D$29,"4",Planner!$I$10:$I$29)</f>
        <v>0</v>
      </c>
    </row>
    <row r="36" spans="1:8" x14ac:dyDescent="0.3">
      <c r="A36" s="71" t="s">
        <v>67</v>
      </c>
      <c r="B36" s="9">
        <f>SUMIF(Planner!$B$10:$B$29,"4x4",Planner!$G$10:$G$29)</f>
        <v>0</v>
      </c>
      <c r="C36" s="9">
        <f>SUMIF(Planner!$B$10:$B$29,"4x4",Planner!$I$10:$I$29)</f>
        <v>0</v>
      </c>
      <c r="E36" s="27" t="s">
        <v>73</v>
      </c>
      <c r="F36" s="9">
        <f>SUMIF(Planner!$D$10:$D$29,"2P",Planner!$G$10:$G$29)</f>
        <v>0</v>
      </c>
      <c r="G36" s="9">
        <f>SUMIF(Planner!$D$10:$D$29,"2P",Planner!$I$10:$I$29)</f>
        <v>0</v>
      </c>
    </row>
    <row r="37" spans="1:8" x14ac:dyDescent="0.3">
      <c r="A37" s="72" t="s">
        <v>68</v>
      </c>
      <c r="B37" s="9">
        <f>SUMIF(Planner!$B$10:$B$29,"4x6",Planner!$G$10:$G$29)</f>
        <v>0</v>
      </c>
      <c r="C37" s="9">
        <f>SUMIF(Planner!$B$10:$B$29,"4x6",Planner!$I$10:$I$29)</f>
        <v>0</v>
      </c>
      <c r="E37" s="28" t="s">
        <v>22</v>
      </c>
      <c r="F37" s="9">
        <f>SUMIF(Planner!$D$10:$D$29,"MSR",Planner!$G$10:$G$29)</f>
        <v>0</v>
      </c>
      <c r="G37" s="9">
        <f>SUMIF(Planner!$D$10:$D$29,"MSR",Planner!$I$10:$I$29)</f>
        <v>0</v>
      </c>
    </row>
    <row r="38" spans="1:8" x14ac:dyDescent="0.3">
      <c r="A38" s="73" t="s">
        <v>69</v>
      </c>
      <c r="B38" s="9">
        <f>SUMIF(Planner!$B$10:$B$29,"6x6",Planner!$G$10:$G$29)</f>
        <v>0</v>
      </c>
      <c r="C38" s="9">
        <f>SUMIF(Planner!$B$10:$B$29,"6x6",Planner!$I$10:$I$29)</f>
        <v>0</v>
      </c>
    </row>
    <row r="40" spans="1:8" x14ac:dyDescent="0.3">
      <c r="A40" s="45" t="s">
        <v>90</v>
      </c>
      <c r="B40" s="45"/>
      <c r="C40" s="45"/>
      <c r="D40" s="45"/>
      <c r="E40" s="45"/>
      <c r="F40" s="45"/>
      <c r="G40" s="45"/>
      <c r="H40" s="45"/>
    </row>
    <row r="41" spans="1:8" x14ac:dyDescent="0.3">
      <c r="A41" s="6" t="s">
        <v>91</v>
      </c>
      <c r="B41" s="29" t="s">
        <v>24</v>
      </c>
      <c r="C41" s="30" t="s">
        <v>16</v>
      </c>
      <c r="D41" s="31" t="s">
        <v>71</v>
      </c>
      <c r="E41" s="32" t="s">
        <v>72</v>
      </c>
      <c r="F41" s="33" t="s">
        <v>73</v>
      </c>
      <c r="G41" s="34" t="s">
        <v>22</v>
      </c>
      <c r="H41" s="6" t="s">
        <v>41</v>
      </c>
    </row>
    <row r="42" spans="1:8" x14ac:dyDescent="0.3">
      <c r="A42" s="67" t="s">
        <v>15</v>
      </c>
      <c r="B42" s="9">
        <f>SUMIFS(Planner!$G$10:$G$29,Planner!$B$10:$B$29,"2x4",Planner!$D$10:$D$29,"1")</f>
        <v>0</v>
      </c>
      <c r="C42" s="9">
        <f>SUMIFS(Planner!$G$10:$G$29,Planner!$B$10:$B$29,"2x4",Planner!$D$10:$D$29,"2")</f>
        <v>0</v>
      </c>
      <c r="D42" s="9">
        <f>SUMIFS(Planner!$G$10:$G$29,Planner!$B$10:$B$29,"2x4",Planner!$D$10:$D$29,"3")</f>
        <v>0</v>
      </c>
      <c r="E42" s="9">
        <f>SUMIFS(Planner!$G$10:$G$29,Planner!$B$10:$B$29,"2x4",Planner!$D$10:$D$29,"4")</f>
        <v>0</v>
      </c>
      <c r="F42" s="9">
        <f>SUMIFS(Planner!$G$10:$G$29,Planner!$B$10:$B$29,"2x4",Planner!$D$10:$D$29,"2P")</f>
        <v>0</v>
      </c>
      <c r="G42" s="9">
        <f>SUMIFS(Planner!$G$10:$G$29,Planner!$B$10:$B$29,"2x4",Planner!$D$10:$D$29,"MSR")</f>
        <v>0</v>
      </c>
      <c r="H42" s="1">
        <f t="shared" ref="H42:H48" si="0">SUM(B42:G42)</f>
        <v>0</v>
      </c>
    </row>
    <row r="43" spans="1:8" x14ac:dyDescent="0.3">
      <c r="A43" s="68" t="s">
        <v>18</v>
      </c>
      <c r="B43" s="9">
        <f>SUMIFS(Planner!$G$10:$G$29,Planner!$B$10:$B$29,"2x6",Planner!$D$10:$D$29,"1")</f>
        <v>0</v>
      </c>
      <c r="C43" s="9">
        <f>SUMIFS(Planner!$G$10:$G$29,Planner!$B$10:$B$29,"2x6",Planner!$D$10:$D$29,"2")</f>
        <v>58</v>
      </c>
      <c r="D43" s="9">
        <f>SUMIFS(Planner!$G$10:$G$29,Planner!$B$10:$B$29,"2x6",Planner!$D$10:$D$29,"3")</f>
        <v>0</v>
      </c>
      <c r="E43" s="9">
        <f>SUMIFS(Planner!$G$10:$G$29,Planner!$B$10:$B$29,"2x6",Planner!$D$10:$D$29,"4")</f>
        <v>0</v>
      </c>
      <c r="F43" s="9">
        <f>SUMIFS(Planner!$G$10:$G$29,Planner!$B$10:$B$29,"2x6",Planner!$D$10:$D$29,"2P")</f>
        <v>0</v>
      </c>
      <c r="G43" s="9">
        <f>SUMIFS(Planner!$G$10:$G$29,Planner!$B$10:$B$29,"2x6",Planner!$D$10:$D$29,"MSR")</f>
        <v>0</v>
      </c>
      <c r="H43" s="1">
        <f t="shared" si="0"/>
        <v>58</v>
      </c>
    </row>
    <row r="44" spans="1:8" x14ac:dyDescent="0.3">
      <c r="A44" s="69" t="s">
        <v>21</v>
      </c>
      <c r="B44" s="9">
        <f>SUMIFS(Planner!$G$10:$G$29,Planner!$B$10:$B$29,"2x8",Planner!$D$10:$D$29,"1")</f>
        <v>0</v>
      </c>
      <c r="C44" s="9">
        <f>SUMIFS(Planner!$G$10:$G$29,Planner!$B$10:$B$29,"2x8",Planner!$D$10:$D$29,"2")</f>
        <v>0</v>
      </c>
      <c r="D44" s="9">
        <f>SUMIFS(Planner!$G$10:$G$29,Planner!$B$10:$B$29,"2x8",Planner!$D$10:$D$29,"3")</f>
        <v>0</v>
      </c>
      <c r="E44" s="9">
        <f>SUMIFS(Planner!$G$10:$G$29,Planner!$B$10:$B$29,"2x8",Planner!$D$10:$D$29,"4")</f>
        <v>0</v>
      </c>
      <c r="F44" s="9">
        <f>SUMIFS(Planner!$G$10:$G$29,Planner!$B$10:$B$29,"2x8",Planner!$D$10:$D$29,"2P")</f>
        <v>0</v>
      </c>
      <c r="G44" s="9">
        <f>SUMIFS(Planner!$G$10:$G$29,Planner!$B$10:$B$29,"2x8",Planner!$D$10:$D$29,"MSR")</f>
        <v>0</v>
      </c>
      <c r="H44" s="1">
        <f t="shared" si="0"/>
        <v>0</v>
      </c>
    </row>
    <row r="45" spans="1:8" x14ac:dyDescent="0.3">
      <c r="A45" s="70" t="s">
        <v>66</v>
      </c>
      <c r="B45" s="9">
        <f>SUMIFS(Planner!$G$10:$G$29,Planner!$B$10:$B$29,"2x10",Planner!$D$10:$D$29,"1")</f>
        <v>0</v>
      </c>
      <c r="C45" s="9">
        <f>SUMIFS(Planner!$G$10:$G$29,Planner!$B$10:$B$29,"2x10",Planner!$D$10:$D$29,"2")</f>
        <v>0</v>
      </c>
      <c r="D45" s="9">
        <f>SUMIFS(Planner!$G$10:$G$29,Planner!$B$10:$B$29,"2x10",Planner!$D$10:$D$29,"3")</f>
        <v>0</v>
      </c>
      <c r="E45" s="9">
        <f>SUMIFS(Planner!$G$10:$G$29,Planner!$B$10:$B$29,"2x10",Planner!$D$10:$D$29,"4")</f>
        <v>0</v>
      </c>
      <c r="F45" s="9">
        <f>SUMIFS(Planner!$G$10:$G$29,Planner!$B$10:$B$29,"2x10",Planner!$D$10:$D$29,"2P")</f>
        <v>0</v>
      </c>
      <c r="G45" s="9">
        <f>SUMIFS(Planner!$G$10:$G$29,Planner!$B$10:$B$29,"2x10",Planner!$D$10:$D$29,"MSR")</f>
        <v>0</v>
      </c>
      <c r="H45" s="1">
        <f t="shared" si="0"/>
        <v>0</v>
      </c>
    </row>
    <row r="46" spans="1:8" x14ac:dyDescent="0.3">
      <c r="A46" s="71" t="s">
        <v>67</v>
      </c>
      <c r="B46" s="9">
        <f>SUMIFS(Planner!$G$10:$G$29,Planner!$B$10:$B$29,"4x4",Planner!$D$10:$D$29,"1")</f>
        <v>0</v>
      </c>
      <c r="C46" s="9">
        <f>SUMIFS(Planner!$G$10:$G$29,Planner!$B$10:$B$29,"4x4",Planner!$D$10:$D$29,"2")</f>
        <v>0</v>
      </c>
      <c r="D46" s="9">
        <f>SUMIFS(Planner!$G$10:$G$29,Planner!$B$10:$B$29,"4x4",Planner!$D$10:$D$29,"3")</f>
        <v>0</v>
      </c>
      <c r="E46" s="9">
        <f>SUMIFS(Planner!$G$10:$G$29,Planner!$B$10:$B$29,"4x4",Planner!$D$10:$D$29,"4")</f>
        <v>0</v>
      </c>
      <c r="F46" s="9">
        <f>SUMIFS(Planner!$G$10:$G$29,Planner!$B$10:$B$29,"4x4",Planner!$D$10:$D$29,"2P")</f>
        <v>0</v>
      </c>
      <c r="G46" s="9">
        <f>SUMIFS(Planner!$G$10:$G$29,Planner!$B$10:$B$29,"4x4",Planner!$D$10:$D$29,"MSR")</f>
        <v>0</v>
      </c>
      <c r="H46" s="1">
        <f t="shared" si="0"/>
        <v>0</v>
      </c>
    </row>
    <row r="47" spans="1:8" x14ac:dyDescent="0.3">
      <c r="A47" s="72" t="s">
        <v>68</v>
      </c>
      <c r="B47" s="9">
        <f>SUMIFS(Planner!$G$10:$G$29,Planner!$B$10:$B$29,"4x6",Planner!$D$10:$D$29,"1")</f>
        <v>0</v>
      </c>
      <c r="C47" s="9">
        <f>SUMIFS(Planner!$G$10:$G$29,Planner!$B$10:$B$29,"4x6",Planner!$D$10:$D$29,"2")</f>
        <v>0</v>
      </c>
      <c r="D47" s="9">
        <f>SUMIFS(Planner!$G$10:$G$29,Planner!$B$10:$B$29,"4x6",Planner!$D$10:$D$29,"3")</f>
        <v>0</v>
      </c>
      <c r="E47" s="9">
        <f>SUMIFS(Planner!$G$10:$G$29,Planner!$B$10:$B$29,"4x6",Planner!$D$10:$D$29,"4")</f>
        <v>0</v>
      </c>
      <c r="F47" s="9">
        <f>SUMIFS(Planner!$G$10:$G$29,Planner!$B$10:$B$29,"4x6",Planner!$D$10:$D$29,"2P")</f>
        <v>0</v>
      </c>
      <c r="G47" s="9">
        <f>SUMIFS(Planner!$G$10:$G$29,Planner!$B$10:$B$29,"4x6",Planner!$D$10:$D$29,"MSR")</f>
        <v>0</v>
      </c>
      <c r="H47" s="1">
        <f t="shared" si="0"/>
        <v>0</v>
      </c>
    </row>
    <row r="48" spans="1:8" x14ac:dyDescent="0.3">
      <c r="A48" s="73" t="s">
        <v>69</v>
      </c>
      <c r="B48" s="9">
        <f>SUMIFS(Planner!$G$10:$G$29,Planner!$B$10:$B$29,"6x6",Planner!$D$10:$D$29,"1")</f>
        <v>0</v>
      </c>
      <c r="C48" s="9">
        <f>SUMIFS(Planner!$G$10:$G$29,Planner!$B$10:$B$29,"6x6",Planner!$D$10:$D$29,"2")</f>
        <v>0</v>
      </c>
      <c r="D48" s="9">
        <f>SUMIFS(Planner!$G$10:$G$29,Planner!$B$10:$B$29,"6x6",Planner!$D$10:$D$29,"3")</f>
        <v>0</v>
      </c>
      <c r="E48" s="9">
        <f>SUMIFS(Planner!$G$10:$G$29,Planner!$B$10:$B$29,"6x6",Planner!$D$10:$D$29,"4")</f>
        <v>0</v>
      </c>
      <c r="F48" s="9">
        <f>SUMIFS(Planner!$G$10:$G$29,Planner!$B$10:$B$29,"6x6",Planner!$D$10:$D$29,"2P")</f>
        <v>0</v>
      </c>
      <c r="G48" s="9">
        <f>SUMIFS(Planner!$G$10:$G$29,Planner!$B$10:$B$29,"6x6",Planner!$D$10:$D$29,"MSR")</f>
        <v>0</v>
      </c>
      <c r="H48" s="1">
        <f t="shared" si="0"/>
        <v>0</v>
      </c>
    </row>
    <row r="51" spans="1:5" x14ac:dyDescent="0.3">
      <c r="A51" s="45" t="s">
        <v>92</v>
      </c>
      <c r="B51" s="45"/>
      <c r="C51" s="45"/>
      <c r="D51" s="45"/>
      <c r="E51" s="45"/>
    </row>
    <row r="52" spans="1:5" x14ac:dyDescent="0.3">
      <c r="A52" s="6" t="s">
        <v>6</v>
      </c>
      <c r="B52" s="6" t="s">
        <v>7</v>
      </c>
      <c r="C52" s="6" t="s">
        <v>8</v>
      </c>
      <c r="D52" s="6" t="s">
        <v>9</v>
      </c>
      <c r="E52" s="6" t="s">
        <v>93</v>
      </c>
    </row>
    <row r="53" spans="1:5" x14ac:dyDescent="0.3">
      <c r="A53" s="9">
        <f>IF(OR(Planner!B10="",Planner!G10=0),"",Planner!A10)</f>
        <v>1</v>
      </c>
      <c r="B53" s="9" t="str">
        <f>IF(OR(Planner!B10="",Planner!G10=0),"",Planner!B10)</f>
        <v>2x6</v>
      </c>
      <c r="C53" s="9">
        <f>IF(OR(Planner!B10="",Planner!G10=0),"",Planner!C10)</f>
        <v>8</v>
      </c>
      <c r="D53" s="9">
        <f>IF(OR(Planner!B10="",Planner!G10=0),"",Planner!D10)</f>
        <v>2</v>
      </c>
      <c r="E53" s="1">
        <f>IF(OR(Planner!B10="",Planner!G10=0),"",Planner!G10)</f>
        <v>7</v>
      </c>
    </row>
    <row r="54" spans="1:5" x14ac:dyDescent="0.3">
      <c r="A54" s="9">
        <f>IF(OR(Planner!B11="",Planner!G11=0),"",Planner!A11)</f>
        <v>2</v>
      </c>
      <c r="B54" s="9" t="str">
        <f>IF(OR(Planner!B11="",Planner!G11=0),"",Planner!B11)</f>
        <v>2x6</v>
      </c>
      <c r="C54" s="9">
        <f>IF(OR(Planner!B11="",Planner!G11=0),"",Planner!C11)</f>
        <v>10</v>
      </c>
      <c r="D54" s="9">
        <f>IF(OR(Planner!B11="",Planner!G11=0),"",Planner!D11)</f>
        <v>2</v>
      </c>
      <c r="E54" s="1">
        <f>IF(OR(Planner!B11="",Planner!G11=0),"",Planner!G11)</f>
        <v>15</v>
      </c>
    </row>
    <row r="55" spans="1:5" x14ac:dyDescent="0.3">
      <c r="A55" s="9">
        <f>IF(OR(Planner!B12="",Planner!G12=0),"",Planner!A12)</f>
        <v>3</v>
      </c>
      <c r="B55" s="9" t="str">
        <f>IF(OR(Planner!B12="",Planner!G12=0),"",Planner!B12)</f>
        <v>2x6</v>
      </c>
      <c r="C55" s="9">
        <f>IF(OR(Planner!B12="",Planner!G12=0),"",Planner!C12)</f>
        <v>12</v>
      </c>
      <c r="D55" s="9">
        <f>IF(OR(Planner!B12="",Planner!G12=0),"",Planner!D12)</f>
        <v>2</v>
      </c>
      <c r="E55" s="1">
        <f>IF(OR(Planner!B12="",Planner!G12=0),"",Planner!G12)</f>
        <v>10</v>
      </c>
    </row>
    <row r="56" spans="1:5" x14ac:dyDescent="0.3">
      <c r="A56" s="9">
        <f>IF(OR(Planner!B13="",Planner!G13=0),"",Planner!A13)</f>
        <v>4</v>
      </c>
      <c r="B56" s="9" t="str">
        <f>IF(OR(Planner!B13="",Planner!G13=0),"",Planner!B13)</f>
        <v>2x6</v>
      </c>
      <c r="C56" s="9">
        <f>IF(OR(Planner!B13="",Planner!G13=0),"",Planner!C13)</f>
        <v>14</v>
      </c>
      <c r="D56" s="9">
        <f>IF(OR(Planner!B13="",Planner!G13=0),"",Planner!D13)</f>
        <v>2</v>
      </c>
      <c r="E56" s="1">
        <f>IF(OR(Planner!B13="",Planner!G13=0),"",Planner!G13)</f>
        <v>11</v>
      </c>
    </row>
    <row r="57" spans="1:5" x14ac:dyDescent="0.3">
      <c r="A57" s="9">
        <f>IF(OR(Planner!B14="",Planner!G14=0),"",Planner!A14)</f>
        <v>5</v>
      </c>
      <c r="B57" s="9" t="str">
        <f>IF(OR(Planner!B14="",Planner!G14=0),"",Planner!B14)</f>
        <v>2x6</v>
      </c>
      <c r="C57" s="9">
        <f>IF(OR(Planner!B14="",Planner!G14=0),"",Planner!C14)</f>
        <v>16</v>
      </c>
      <c r="D57" s="9">
        <f>IF(OR(Planner!B14="",Planner!G14=0),"",Planner!D14)</f>
        <v>2</v>
      </c>
      <c r="E57" s="1">
        <f>IF(OR(Planner!B14="",Planner!G14=0),"",Planner!G14)</f>
        <v>15</v>
      </c>
    </row>
    <row r="58" spans="1:5" x14ac:dyDescent="0.3">
      <c r="A58" s="9" t="str">
        <f>IF(OR(Planner!B15="",Planner!G15=0),"",Planner!A15)</f>
        <v/>
      </c>
      <c r="B58" s="9" t="str">
        <f>IF(OR(Planner!B15="",Planner!G15=0),"",Planner!B15)</f>
        <v/>
      </c>
      <c r="C58" s="9" t="str">
        <f>IF(OR(Planner!B15="",Planner!G15=0),"",Planner!C15)</f>
        <v/>
      </c>
      <c r="D58" s="9" t="str">
        <f>IF(OR(Planner!B15="",Planner!G15=0),"",Planner!D15)</f>
        <v/>
      </c>
      <c r="E58" s="1" t="str">
        <f>IF(OR(Planner!B15="",Planner!G15=0),"",Planner!G15)</f>
        <v/>
      </c>
    </row>
    <row r="59" spans="1:5" x14ac:dyDescent="0.3">
      <c r="A59" s="9" t="str">
        <f>IF(OR(Planner!B16="",Planner!G16=0),"",Planner!A16)</f>
        <v/>
      </c>
      <c r="B59" s="9" t="str">
        <f>IF(OR(Planner!B16="",Planner!G16=0),"",Planner!B16)</f>
        <v/>
      </c>
      <c r="C59" s="9" t="str">
        <f>IF(OR(Planner!B16="",Planner!G16=0),"",Planner!C16)</f>
        <v/>
      </c>
      <c r="D59" s="9" t="str">
        <f>IF(OR(Planner!B16="",Planner!G16=0),"",Planner!D16)</f>
        <v/>
      </c>
      <c r="E59" s="1" t="str">
        <f>IF(OR(Planner!B16="",Planner!G16=0),"",Planner!G16)</f>
        <v/>
      </c>
    </row>
    <row r="60" spans="1:5" x14ac:dyDescent="0.3">
      <c r="A60" s="9" t="str">
        <f>IF(OR(Planner!B17="",Planner!G17=0),"",Planner!A17)</f>
        <v/>
      </c>
      <c r="B60" s="9" t="str">
        <f>IF(OR(Planner!B17="",Planner!G17=0),"",Planner!B17)</f>
        <v/>
      </c>
      <c r="C60" s="9" t="str">
        <f>IF(OR(Planner!B17="",Planner!G17=0),"",Planner!C17)</f>
        <v/>
      </c>
      <c r="D60" s="9" t="str">
        <f>IF(OR(Planner!B17="",Planner!G17=0),"",Planner!D17)</f>
        <v/>
      </c>
      <c r="E60" s="1" t="str">
        <f>IF(OR(Planner!B17="",Planner!G17=0),"",Planner!G17)</f>
        <v/>
      </c>
    </row>
    <row r="61" spans="1:5" x14ac:dyDescent="0.3">
      <c r="A61" s="9" t="str">
        <f>IF(OR(Planner!B18="",Planner!G18=0),"",Planner!A18)</f>
        <v/>
      </c>
      <c r="B61" s="9" t="str">
        <f>IF(OR(Planner!B18="",Planner!G18=0),"",Planner!B18)</f>
        <v/>
      </c>
      <c r="C61" s="9" t="str">
        <f>IF(OR(Planner!B18="",Planner!G18=0),"",Planner!C18)</f>
        <v/>
      </c>
      <c r="D61" s="9" t="str">
        <f>IF(OR(Planner!B18="",Planner!G18=0),"",Planner!D18)</f>
        <v/>
      </c>
      <c r="E61" s="1" t="str">
        <f>IF(OR(Planner!B18="",Planner!G18=0),"",Planner!G18)</f>
        <v/>
      </c>
    </row>
    <row r="62" spans="1:5" x14ac:dyDescent="0.3">
      <c r="A62" s="9" t="str">
        <f>IF(OR(Planner!B19="",Planner!G19=0),"",Planner!A19)</f>
        <v/>
      </c>
      <c r="B62" s="9" t="str">
        <f>IF(OR(Planner!B19="",Planner!G19=0),"",Planner!B19)</f>
        <v/>
      </c>
      <c r="C62" s="9" t="str">
        <f>IF(OR(Planner!B19="",Planner!G19=0),"",Planner!C19)</f>
        <v/>
      </c>
      <c r="D62" s="9" t="str">
        <f>IF(OR(Planner!B19="",Planner!G19=0),"",Planner!D19)</f>
        <v/>
      </c>
      <c r="E62" s="1" t="str">
        <f>IF(OR(Planner!B19="",Planner!G19=0),"",Planner!G19)</f>
        <v/>
      </c>
    </row>
    <row r="63" spans="1:5" x14ac:dyDescent="0.3">
      <c r="A63" s="9" t="str">
        <f>IF(OR(Planner!B20="",Planner!G20=0),"",Planner!A20)</f>
        <v/>
      </c>
      <c r="B63" s="9" t="str">
        <f>IF(OR(Planner!B20="",Planner!G20=0),"",Planner!B20)</f>
        <v/>
      </c>
      <c r="C63" s="9" t="str">
        <f>IF(OR(Planner!B20="",Planner!G20=0),"",Planner!C20)</f>
        <v/>
      </c>
      <c r="D63" s="9" t="str">
        <f>IF(OR(Planner!B20="",Planner!G20=0),"",Planner!D20)</f>
        <v/>
      </c>
      <c r="E63" s="1" t="str">
        <f>IF(OR(Planner!B20="",Planner!G20=0),"",Planner!G20)</f>
        <v/>
      </c>
    </row>
    <row r="64" spans="1:5" x14ac:dyDescent="0.3">
      <c r="A64" s="9" t="str">
        <f>IF(OR(Planner!B21="",Planner!G21=0),"",Planner!A21)</f>
        <v/>
      </c>
      <c r="B64" s="9" t="str">
        <f>IF(OR(Planner!B21="",Planner!G21=0),"",Planner!B21)</f>
        <v/>
      </c>
      <c r="C64" s="9" t="str">
        <f>IF(OR(Planner!B21="",Planner!G21=0),"",Planner!C21)</f>
        <v/>
      </c>
      <c r="D64" s="9" t="str">
        <f>IF(OR(Planner!B21="",Planner!G21=0),"",Planner!D21)</f>
        <v/>
      </c>
      <c r="E64" s="1" t="str">
        <f>IF(OR(Planner!B21="",Planner!G21=0),"",Planner!G21)</f>
        <v/>
      </c>
    </row>
    <row r="65" spans="1:5" x14ac:dyDescent="0.3">
      <c r="A65" s="9" t="str">
        <f>IF(OR(Planner!B22="",Planner!G22=0),"",Planner!A22)</f>
        <v/>
      </c>
      <c r="B65" s="9" t="str">
        <f>IF(OR(Planner!B22="",Planner!G22=0),"",Planner!B22)</f>
        <v/>
      </c>
      <c r="C65" s="9" t="str">
        <f>IF(OR(Planner!B22="",Planner!G22=0),"",Planner!C22)</f>
        <v/>
      </c>
      <c r="D65" s="9" t="str">
        <f>IF(OR(Planner!B22="",Planner!G22=0),"",Planner!D22)</f>
        <v/>
      </c>
      <c r="E65" s="1" t="str">
        <f>IF(OR(Planner!B22="",Planner!G22=0),"",Planner!G22)</f>
        <v/>
      </c>
    </row>
    <row r="66" spans="1:5" x14ac:dyDescent="0.3">
      <c r="A66" s="9" t="str">
        <f>IF(OR(Planner!B23="",Planner!G23=0),"",Planner!A23)</f>
        <v/>
      </c>
      <c r="B66" s="9" t="str">
        <f>IF(OR(Planner!B23="",Planner!G23=0),"",Planner!B23)</f>
        <v/>
      </c>
      <c r="C66" s="9" t="str">
        <f>IF(OR(Planner!B23="",Planner!G23=0),"",Planner!C23)</f>
        <v/>
      </c>
      <c r="D66" s="9" t="str">
        <f>IF(OR(Planner!B23="",Planner!G23=0),"",Planner!D23)</f>
        <v/>
      </c>
      <c r="E66" s="1" t="str">
        <f>IF(OR(Planner!B23="",Planner!G23=0),"",Planner!G23)</f>
        <v/>
      </c>
    </row>
    <row r="67" spans="1:5" x14ac:dyDescent="0.3">
      <c r="A67" s="9" t="str">
        <f>IF(OR(Planner!B24="",Planner!G24=0),"",Planner!A24)</f>
        <v/>
      </c>
      <c r="B67" s="9" t="str">
        <f>IF(OR(Planner!B24="",Planner!G24=0),"",Planner!B24)</f>
        <v/>
      </c>
      <c r="C67" s="9" t="str">
        <f>IF(OR(Planner!B24="",Planner!G24=0),"",Planner!C24)</f>
        <v/>
      </c>
      <c r="D67" s="9" t="str">
        <f>IF(OR(Planner!B24="",Planner!G24=0),"",Planner!D24)</f>
        <v/>
      </c>
      <c r="E67" s="1" t="str">
        <f>IF(OR(Planner!B24="",Planner!G24=0),"",Planner!G24)</f>
        <v/>
      </c>
    </row>
    <row r="68" spans="1:5" x14ac:dyDescent="0.3">
      <c r="A68" s="9" t="str">
        <f>IF(OR(Planner!B25="",Planner!G25=0),"",Planner!A25)</f>
        <v/>
      </c>
      <c r="B68" s="9" t="str">
        <f>IF(OR(Planner!B25="",Planner!G25=0),"",Planner!B25)</f>
        <v/>
      </c>
      <c r="C68" s="9" t="str">
        <f>IF(OR(Planner!B25="",Planner!G25=0),"",Planner!C25)</f>
        <v/>
      </c>
      <c r="D68" s="9" t="str">
        <f>IF(OR(Planner!B25="",Planner!G25=0),"",Planner!D25)</f>
        <v/>
      </c>
      <c r="E68" s="1" t="str">
        <f>IF(OR(Planner!B25="",Planner!G25=0),"",Planner!G25)</f>
        <v/>
      </c>
    </row>
    <row r="69" spans="1:5" x14ac:dyDescent="0.3">
      <c r="A69" s="9" t="str">
        <f>IF(OR(Planner!B26="",Planner!G26=0),"",Planner!A26)</f>
        <v/>
      </c>
      <c r="B69" s="9" t="str">
        <f>IF(OR(Planner!B26="",Planner!G26=0),"",Planner!B26)</f>
        <v/>
      </c>
      <c r="C69" s="9" t="str">
        <f>IF(OR(Planner!B26="",Planner!G26=0),"",Planner!C26)</f>
        <v/>
      </c>
      <c r="D69" s="9" t="str">
        <f>IF(OR(Planner!B26="",Planner!G26=0),"",Planner!D26)</f>
        <v/>
      </c>
      <c r="E69" s="1" t="str">
        <f>IF(OR(Planner!B26="",Planner!G26=0),"",Planner!G26)</f>
        <v/>
      </c>
    </row>
    <row r="70" spans="1:5" x14ac:dyDescent="0.3">
      <c r="A70" s="9" t="str">
        <f>IF(OR(Planner!B27="",Planner!G27=0),"",Planner!A27)</f>
        <v/>
      </c>
      <c r="B70" s="9" t="str">
        <f>IF(OR(Planner!B27="",Planner!G27=0),"",Planner!B27)</f>
        <v/>
      </c>
      <c r="C70" s="9" t="str">
        <f>IF(OR(Planner!B27="",Planner!G27=0),"",Planner!C27)</f>
        <v/>
      </c>
      <c r="D70" s="9" t="str">
        <f>IF(OR(Planner!B27="",Planner!G27=0),"",Planner!D27)</f>
        <v/>
      </c>
      <c r="E70" s="1" t="str">
        <f>IF(OR(Planner!B27="",Planner!G27=0),"",Planner!G27)</f>
        <v/>
      </c>
    </row>
    <row r="71" spans="1:5" x14ac:dyDescent="0.3">
      <c r="A71" s="9" t="str">
        <f>IF(OR(Planner!B28="",Planner!G28=0),"",Planner!A28)</f>
        <v/>
      </c>
      <c r="B71" s="9" t="str">
        <f>IF(OR(Planner!B28="",Planner!G28=0),"",Planner!B28)</f>
        <v/>
      </c>
      <c r="C71" s="9" t="str">
        <f>IF(OR(Planner!B28="",Planner!G28=0),"",Planner!C28)</f>
        <v/>
      </c>
      <c r="D71" s="9" t="str">
        <f>IF(OR(Planner!B28="",Planner!G28=0),"",Planner!D28)</f>
        <v/>
      </c>
      <c r="E71" s="1" t="str">
        <f>IF(OR(Planner!B28="",Planner!G28=0),"",Planner!G28)</f>
        <v/>
      </c>
    </row>
    <row r="72" spans="1:5" x14ac:dyDescent="0.3">
      <c r="A72" s="9" t="str">
        <f>IF(OR(Planner!B29="",Planner!G29=0),"",Planner!A29)</f>
        <v/>
      </c>
      <c r="B72" s="9" t="str">
        <f>IF(OR(Planner!B29="",Planner!G29=0),"",Planner!B29)</f>
        <v/>
      </c>
      <c r="C72" s="9" t="str">
        <f>IF(OR(Planner!B29="",Planner!G29=0),"",Planner!C29)</f>
        <v/>
      </c>
      <c r="D72" s="9" t="str">
        <f>IF(OR(Planner!B29="",Planner!G29=0),"",Planner!D29)</f>
        <v/>
      </c>
      <c r="E72" s="1" t="str">
        <f>IF(OR(Planner!B29="",Planner!G29=0),"",Planner!G29)</f>
        <v/>
      </c>
    </row>
    <row r="73" spans="1:5" x14ac:dyDescent="0.3">
      <c r="A73" s="49" t="s">
        <v>29</v>
      </c>
      <c r="B73" s="49"/>
      <c r="C73" s="49"/>
      <c r="D73" s="49"/>
      <c r="E73" s="1">
        <f>SUM(E53:E72)</f>
        <v>58</v>
      </c>
    </row>
  </sheetData>
  <mergeCells count="8">
    <mergeCell ref="A40:H40"/>
    <mergeCell ref="A51:E51"/>
    <mergeCell ref="A73:D73"/>
    <mergeCell ref="A1:F1"/>
    <mergeCell ref="A2:L2"/>
    <mergeCell ref="A13:L13"/>
    <mergeCell ref="A30:C30"/>
    <mergeCell ref="E30:G30"/>
  </mergeCells>
  <conditionalFormatting sqref="B53:B72">
    <cfRule type="expression" dxfId="12" priority="34">
      <formula>B53="2x4"</formula>
    </cfRule>
    <cfRule type="expression" dxfId="11" priority="35">
      <formula>B53="2x6"</formula>
    </cfRule>
    <cfRule type="expression" dxfId="10" priority="36">
      <formula>B53="2x8"</formula>
    </cfRule>
    <cfRule type="expression" dxfId="9" priority="37">
      <formula>B53="2x10"</formula>
    </cfRule>
    <cfRule type="expression" dxfId="8" priority="38">
      <formula>B53="4x4"</formula>
    </cfRule>
    <cfRule type="expression" dxfId="7" priority="39">
      <formula>B53="4x6"</formula>
    </cfRule>
    <cfRule type="expression" dxfId="6" priority="40">
      <formula>B53="6x6"</formula>
    </cfRule>
  </conditionalFormatting>
  <conditionalFormatting sqref="B15:J28">
    <cfRule type="expression" dxfId="40" priority="2">
      <formula>AND(B15&lt;&gt;"",IFERROR(MID(B15,FIND("-",B15)+1,FIND("-",B15,FIND("-",B15)+1)-FIND("-",B15)-1),"")="8")</formula>
    </cfRule>
    <cfRule type="expression" dxfId="39" priority="3">
      <formula>AND(B15&lt;&gt;"",IFERROR(MID(B15,FIND("-",B15)+1,FIND("-",B15,FIND("-",B15)+1)-FIND("-",B15)-1),"")="10")</formula>
    </cfRule>
    <cfRule type="expression" dxfId="38" priority="4">
      <formula>AND(B15&lt;&gt;"",IFERROR(MID(B15,FIND("-",B15)+1,FIND("-",B15,FIND("-",B15)+1)-FIND("-",B15)-1),"")="12")</formula>
    </cfRule>
    <cfRule type="expression" dxfId="37" priority="5">
      <formula>AND(B15&lt;&gt;"",IFERROR(MID(B15,FIND("-",B15)+1,FIND("-",B15,FIND("-",B15)+1)-FIND("-",B15)-1),"")="14")</formula>
    </cfRule>
    <cfRule type="expression" dxfId="36" priority="6">
      <formula>AND(B15&lt;&gt;"",IFERROR(MID(B15,FIND("-",B15)+1,FIND("-",B15,FIND("-",B15)+1)-FIND("-",B15)-1),"")="16")</formula>
    </cfRule>
    <cfRule type="expression" dxfId="35" priority="7">
      <formula>AND(B15&lt;&gt;"",IFERROR(MID(B15,FIND("-",B15)+1,FIND("-",B15,FIND("-",B15)+1)-FIND("-",B15)-1),"")="18")</formula>
    </cfRule>
    <cfRule type="expression" dxfId="34" priority="8">
      <formula>AND(B15&lt;&gt;"",IFERROR(MID(B15,FIND("-",B15)+1,FIND("-",B15,FIND("-",B15)+1)-FIND("-",B15)-1),"")="20")</formula>
    </cfRule>
    <cfRule type="expression" dxfId="33" priority="9">
      <formula>AND(B15&lt;&gt;"",IFERROR(LEFT(B15,FIND("-",B15)-1),"")="2x4")</formula>
    </cfRule>
    <cfRule type="expression" dxfId="32" priority="10">
      <formula>AND(B15&lt;&gt;"",IFERROR(LEFT(B15,FIND("-",B15)-1),"")="2x6")</formula>
    </cfRule>
    <cfRule type="expression" dxfId="31" priority="11">
      <formula>AND(B15&lt;&gt;"",IFERROR(LEFT(B15,FIND("-",B15)-1),"")="2x8")</formula>
    </cfRule>
    <cfRule type="expression" dxfId="30" priority="12">
      <formula>AND(B15&lt;&gt;"",IFERROR(LEFT(B15,FIND("-",B15)-1),"")="2x10")</formula>
    </cfRule>
    <cfRule type="expression" dxfId="29" priority="13">
      <formula>AND(B15&lt;&gt;"",IFERROR(LEFT(B15,FIND("-",B15)-1),"")="4x4")</formula>
    </cfRule>
    <cfRule type="expression" dxfId="28" priority="14">
      <formula>AND(B15&lt;&gt;"",IFERROR(LEFT(B15,FIND("-",B15)-1),"")="4x6")</formula>
    </cfRule>
    <cfRule type="expression" dxfId="27" priority="15">
      <formula>AND(B15&lt;&gt;"",IFERROR(LEFT(B15,FIND("-",B15)-1),"")="6x6")</formula>
    </cfRule>
    <cfRule type="expression" dxfId="26" priority="16">
      <formula>AND(B15&lt;&gt;"",IFERROR(MID(B15,FIND("-",B15,FIND("-",B15)+1)+1,9),"")="1")</formula>
    </cfRule>
    <cfRule type="expression" dxfId="25" priority="17">
      <formula>AND(B15&lt;&gt;"",IFERROR(MID(B15,FIND("-",B15,FIND("-",B15)+1)+1,9),"")="2")</formula>
    </cfRule>
    <cfRule type="expression" dxfId="24" priority="18">
      <formula>AND(B15&lt;&gt;"",IFERROR(MID(B15,FIND("-",B15,FIND("-",B15)+1)+1,9),"")="3")</formula>
    </cfRule>
    <cfRule type="expression" dxfId="23" priority="19">
      <formula>AND(B15&lt;&gt;"",IFERROR(MID(B15,FIND("-",B15,FIND("-",B15)+1)+1,9),"")="4")</formula>
    </cfRule>
    <cfRule type="expression" dxfId="22" priority="20">
      <formula>AND(B15&lt;&gt;"",IFERROR(MID(B15,FIND("-",B15,FIND("-",B15)+1)+1,9),"")="2P")</formula>
    </cfRule>
    <cfRule type="expression" dxfId="21" priority="21">
      <formula>AND(B15&lt;&gt;"",IFERROR(MID(B15,FIND("-",B15,FIND("-",B15)+1)+1,9),"")="MSR")</formula>
    </cfRule>
  </conditionalFormatting>
  <conditionalFormatting sqref="C53:C72">
    <cfRule type="expression" dxfId="19" priority="33">
      <formula>C53&amp;""="20"</formula>
    </cfRule>
    <cfRule type="expression" dxfId="18" priority="29">
      <formula>C53&amp;""="12"</formula>
    </cfRule>
    <cfRule type="expression" dxfId="17" priority="27">
      <formula>C53&amp;""="8"</formula>
    </cfRule>
    <cfRule type="expression" dxfId="16" priority="28">
      <formula>C53&amp;""="10"</formula>
    </cfRule>
    <cfRule type="expression" dxfId="15" priority="30">
      <formula>C53&amp;""="14"</formula>
    </cfRule>
    <cfRule type="expression" dxfId="14" priority="31">
      <formula>C53&amp;""="16"</formula>
    </cfRule>
    <cfRule type="expression" dxfId="13" priority="32">
      <formula>C53&amp;""="18"</formula>
    </cfRule>
  </conditionalFormatting>
  <conditionalFormatting sqref="D53:D72">
    <cfRule type="expression" dxfId="5" priority="41">
      <formula>D53&amp;""="1"</formula>
    </cfRule>
    <cfRule type="expression" dxfId="4" priority="42">
      <formula>D53&amp;""="2"</formula>
    </cfRule>
    <cfRule type="expression" dxfId="3" priority="43">
      <formula>D53&amp;""="3"</formula>
    </cfRule>
    <cfRule type="expression" dxfId="2" priority="44">
      <formula>D53&amp;""="4"</formula>
    </cfRule>
    <cfRule type="expression" dxfId="1" priority="45">
      <formula>D53&amp;""="2P"</formula>
    </cfRule>
    <cfRule type="expression" dxfId="0" priority="46">
      <formula>D53&amp;""="MSR"</formula>
    </cfRule>
  </conditionalFormatting>
  <conditionalFormatting sqref="L15:L28">
    <cfRule type="expression" dxfId="65" priority="25">
      <formula>LEFT(L15,5)="SHORT"</formula>
    </cfRule>
    <cfRule type="expression" dxfId="64" priority="23">
      <formula>LEFT(L15,2)="OK"</formula>
    </cfRule>
    <cfRule type="expression" dxfId="63" priority="26">
      <formula>L15="— unused —"</formula>
    </cfRule>
    <cfRule type="expression" dxfId="62" priority="24">
      <formula>LEFT(L15,4)="OVER"</formula>
    </cfRule>
  </conditionalFormatting>
  <printOptions horizontalCentered="1"/>
  <pageMargins left="0.2" right="0.2" top="0.25" bottom="0.25" header="0.511811023622047" footer="0.511811023622047"/>
  <pageSetup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2" id="{00000000-000E-0000-0100-000016000000}">
            <xm:f>ROW()-14&gt;Planner!$C$5</xm:f>
            <x14:dxf>
              <fill>
                <patternFill>
                  <bgColor rgb="FFF2F2F2"/>
                </patternFill>
              </fill>
            </x14:dxf>
          </x14:cfRule>
          <xm:sqref>B15:J28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DD55E-648A-483F-95CD-E03617C28F9A}">
  <sheetPr>
    <tabColor rgb="FF1F4E79"/>
  </sheetPr>
  <dimension ref="B1:B75"/>
  <sheetViews>
    <sheetView tabSelected="1" workbookViewId="0"/>
  </sheetViews>
  <sheetFormatPr defaultRowHeight="14.4" x14ac:dyDescent="0.3"/>
  <cols>
    <col min="1" max="1" width="3.33203125" customWidth="1"/>
    <col min="2" max="2" width="112.77734375" customWidth="1"/>
  </cols>
  <sheetData>
    <row r="1" spans="2:2" ht="22.8" x14ac:dyDescent="0.3">
      <c r="B1" s="37" t="s">
        <v>421</v>
      </c>
    </row>
    <row r="2" spans="2:2" x14ac:dyDescent="0.3">
      <c r="B2" s="38" t="s">
        <v>422</v>
      </c>
    </row>
    <row r="3" spans="2:2" ht="6" customHeight="1" x14ac:dyDescent="0.3">
      <c r="B3" s="36"/>
    </row>
    <row r="4" spans="2:2" ht="15.6" x14ac:dyDescent="0.3">
      <c r="B4" s="39" t="s">
        <v>423</v>
      </c>
    </row>
    <row r="5" spans="2:2" ht="27.6" x14ac:dyDescent="0.3">
      <c r="B5" s="40" t="s">
        <v>424</v>
      </c>
    </row>
    <row r="6" spans="2:2" x14ac:dyDescent="0.3">
      <c r="B6" s="40" t="s">
        <v>425</v>
      </c>
    </row>
    <row r="7" spans="2:2" ht="27.6" x14ac:dyDescent="0.3">
      <c r="B7" s="40" t="s">
        <v>426</v>
      </c>
    </row>
    <row r="8" spans="2:2" ht="26.4" x14ac:dyDescent="0.3">
      <c r="B8" s="41" t="s">
        <v>427</v>
      </c>
    </row>
    <row r="9" spans="2:2" ht="6" customHeight="1" x14ac:dyDescent="0.3">
      <c r="B9" s="36"/>
    </row>
    <row r="10" spans="2:2" ht="15.6" x14ac:dyDescent="0.3">
      <c r="B10" s="39" t="s">
        <v>428</v>
      </c>
    </row>
    <row r="11" spans="2:2" x14ac:dyDescent="0.3">
      <c r="B11" s="40" t="s">
        <v>429</v>
      </c>
    </row>
    <row r="12" spans="2:2" x14ac:dyDescent="0.3">
      <c r="B12" s="40" t="s">
        <v>430</v>
      </c>
    </row>
    <row r="13" spans="2:2" x14ac:dyDescent="0.3">
      <c r="B13" s="40" t="s">
        <v>431</v>
      </c>
    </row>
    <row r="14" spans="2:2" x14ac:dyDescent="0.3">
      <c r="B14" s="40" t="s">
        <v>432</v>
      </c>
    </row>
    <row r="15" spans="2:2" x14ac:dyDescent="0.3">
      <c r="B15" s="40" t="s">
        <v>433</v>
      </c>
    </row>
    <row r="16" spans="2:2" ht="6" customHeight="1" x14ac:dyDescent="0.3">
      <c r="B16" s="36"/>
    </row>
    <row r="17" spans="2:2" ht="15.6" x14ac:dyDescent="0.3">
      <c r="B17" s="39" t="s">
        <v>434</v>
      </c>
    </row>
    <row r="18" spans="2:2" x14ac:dyDescent="0.3">
      <c r="B18" s="42" t="s">
        <v>435</v>
      </c>
    </row>
    <row r="19" spans="2:2" x14ac:dyDescent="0.3">
      <c r="B19" s="40" t="s">
        <v>436</v>
      </c>
    </row>
    <row r="20" spans="2:2" x14ac:dyDescent="0.3">
      <c r="B20" s="40" t="s">
        <v>437</v>
      </c>
    </row>
    <row r="21" spans="2:2" x14ac:dyDescent="0.3">
      <c r="B21" s="40" t="s">
        <v>438</v>
      </c>
    </row>
    <row r="22" spans="2:2" x14ac:dyDescent="0.3">
      <c r="B22" s="42" t="s">
        <v>439</v>
      </c>
    </row>
    <row r="23" spans="2:2" x14ac:dyDescent="0.3">
      <c r="B23" s="40" t="s">
        <v>440</v>
      </c>
    </row>
    <row r="24" spans="2:2" x14ac:dyDescent="0.3">
      <c r="B24" s="40" t="s">
        <v>441</v>
      </c>
    </row>
    <row r="25" spans="2:2" x14ac:dyDescent="0.3">
      <c r="B25" s="42" t="s">
        <v>442</v>
      </c>
    </row>
    <row r="26" spans="2:2" x14ac:dyDescent="0.3">
      <c r="B26" s="40" t="s">
        <v>443</v>
      </c>
    </row>
    <row r="27" spans="2:2" x14ac:dyDescent="0.3">
      <c r="B27" s="40" t="s">
        <v>444</v>
      </c>
    </row>
    <row r="28" spans="2:2" ht="27.6" x14ac:dyDescent="0.3">
      <c r="B28" s="40" t="s">
        <v>445</v>
      </c>
    </row>
    <row r="29" spans="2:2" x14ac:dyDescent="0.3">
      <c r="B29" s="40" t="s">
        <v>446</v>
      </c>
    </row>
    <row r="30" spans="2:2" x14ac:dyDescent="0.3">
      <c r="B30" s="42" t="s">
        <v>447</v>
      </c>
    </row>
    <row r="31" spans="2:2" x14ac:dyDescent="0.3">
      <c r="B31" s="40" t="s">
        <v>448</v>
      </c>
    </row>
    <row r="32" spans="2:2" x14ac:dyDescent="0.3">
      <c r="B32" s="40" t="s">
        <v>449</v>
      </c>
    </row>
    <row r="33" spans="2:2" ht="27.6" x14ac:dyDescent="0.3">
      <c r="B33" s="40" t="s">
        <v>450</v>
      </c>
    </row>
    <row r="34" spans="2:2" ht="26.4" x14ac:dyDescent="0.3">
      <c r="B34" s="41" t="s">
        <v>451</v>
      </c>
    </row>
    <row r="35" spans="2:2" x14ac:dyDescent="0.3">
      <c r="B35" s="42" t="s">
        <v>452</v>
      </c>
    </row>
    <row r="36" spans="2:2" x14ac:dyDescent="0.3">
      <c r="B36" s="40" t="s">
        <v>453</v>
      </c>
    </row>
    <row r="37" spans="2:2" x14ac:dyDescent="0.3">
      <c r="B37" s="40" t="s">
        <v>454</v>
      </c>
    </row>
    <row r="38" spans="2:2" x14ac:dyDescent="0.3">
      <c r="B38" s="40" t="s">
        <v>455</v>
      </c>
    </row>
    <row r="39" spans="2:2" x14ac:dyDescent="0.3">
      <c r="B39" s="40" t="s">
        <v>456</v>
      </c>
    </row>
    <row r="40" spans="2:2" ht="6" customHeight="1" x14ac:dyDescent="0.3">
      <c r="B40" s="36"/>
    </row>
    <row r="41" spans="2:2" ht="15.6" x14ac:dyDescent="0.3">
      <c r="B41" s="39" t="s">
        <v>457</v>
      </c>
    </row>
    <row r="42" spans="2:2" x14ac:dyDescent="0.3">
      <c r="B42" s="42" t="s">
        <v>458</v>
      </c>
    </row>
    <row r="43" spans="2:2" ht="27.6" x14ac:dyDescent="0.3">
      <c r="B43" s="40" t="s">
        <v>459</v>
      </c>
    </row>
    <row r="44" spans="2:2" x14ac:dyDescent="0.3">
      <c r="B44" s="42" t="s">
        <v>460</v>
      </c>
    </row>
    <row r="45" spans="2:2" x14ac:dyDescent="0.3">
      <c r="B45" s="40" t="s">
        <v>461</v>
      </c>
    </row>
    <row r="46" spans="2:2" ht="26.4" x14ac:dyDescent="0.3">
      <c r="B46" s="41" t="s">
        <v>462</v>
      </c>
    </row>
    <row r="47" spans="2:2" ht="6" customHeight="1" x14ac:dyDescent="0.3">
      <c r="B47" s="36"/>
    </row>
    <row r="48" spans="2:2" ht="15.6" x14ac:dyDescent="0.3">
      <c r="B48" s="39" t="s">
        <v>463</v>
      </c>
    </row>
    <row r="49" spans="2:2" x14ac:dyDescent="0.3">
      <c r="B49" s="40" t="s">
        <v>464</v>
      </c>
    </row>
    <row r="50" spans="2:2" x14ac:dyDescent="0.3">
      <c r="B50" s="40" t="s">
        <v>465</v>
      </c>
    </row>
    <row r="51" spans="2:2" x14ac:dyDescent="0.3">
      <c r="B51" s="40" t="s">
        <v>466</v>
      </c>
    </row>
    <row r="52" spans="2:2" ht="6" customHeight="1" x14ac:dyDescent="0.3">
      <c r="B52" s="36"/>
    </row>
    <row r="53" spans="2:2" ht="15.6" x14ac:dyDescent="0.3">
      <c r="B53" s="39" t="s">
        <v>467</v>
      </c>
    </row>
    <row r="54" spans="2:2" x14ac:dyDescent="0.3">
      <c r="B54" s="40" t="s">
        <v>468</v>
      </c>
    </row>
    <row r="55" spans="2:2" x14ac:dyDescent="0.3">
      <c r="B55" s="40" t="s">
        <v>469</v>
      </c>
    </row>
    <row r="56" spans="2:2" x14ac:dyDescent="0.3">
      <c r="B56" s="40" t="s">
        <v>470</v>
      </c>
    </row>
    <row r="57" spans="2:2" x14ac:dyDescent="0.3">
      <c r="B57" s="41" t="s">
        <v>471</v>
      </c>
    </row>
    <row r="58" spans="2:2" ht="6" customHeight="1" x14ac:dyDescent="0.3">
      <c r="B58" s="36"/>
    </row>
    <row r="59" spans="2:2" ht="15.6" x14ac:dyDescent="0.3">
      <c r="B59" s="39" t="s">
        <v>472</v>
      </c>
    </row>
    <row r="60" spans="2:2" ht="27.6" x14ac:dyDescent="0.3">
      <c r="B60" s="40" t="s">
        <v>473</v>
      </c>
    </row>
    <row r="61" spans="2:2" ht="6" customHeight="1" x14ac:dyDescent="0.3">
      <c r="B61" s="36"/>
    </row>
    <row r="62" spans="2:2" ht="15.6" x14ac:dyDescent="0.3">
      <c r="B62" s="39" t="s">
        <v>474</v>
      </c>
    </row>
    <row r="63" spans="2:2" x14ac:dyDescent="0.3">
      <c r="B63" s="40" t="s">
        <v>475</v>
      </c>
    </row>
    <row r="64" spans="2:2" ht="6" customHeight="1" x14ac:dyDescent="0.3">
      <c r="B64" s="36"/>
    </row>
    <row r="65" spans="2:2" ht="15.6" x14ac:dyDescent="0.3">
      <c r="B65" s="39" t="s">
        <v>476</v>
      </c>
    </row>
    <row r="66" spans="2:2" ht="27.6" x14ac:dyDescent="0.3">
      <c r="B66" s="40" t="s">
        <v>477</v>
      </c>
    </row>
    <row r="67" spans="2:2" ht="27.6" x14ac:dyDescent="0.3">
      <c r="B67" s="40" t="s">
        <v>478</v>
      </c>
    </row>
    <row r="68" spans="2:2" ht="27.6" x14ac:dyDescent="0.3">
      <c r="B68" s="40" t="s">
        <v>479</v>
      </c>
    </row>
    <row r="69" spans="2:2" ht="6" customHeight="1" x14ac:dyDescent="0.3">
      <c r="B69" s="36"/>
    </row>
    <row r="70" spans="2:2" ht="15.6" x14ac:dyDescent="0.3">
      <c r="B70" s="39" t="s">
        <v>480</v>
      </c>
    </row>
    <row r="71" spans="2:2" ht="27.6" x14ac:dyDescent="0.3">
      <c r="B71" s="40" t="s">
        <v>481</v>
      </c>
    </row>
    <row r="72" spans="2:2" ht="27.6" x14ac:dyDescent="0.3">
      <c r="B72" s="40" t="s">
        <v>482</v>
      </c>
    </row>
    <row r="73" spans="2:2" ht="27.6" x14ac:dyDescent="0.3">
      <c r="B73" s="40" t="s">
        <v>483</v>
      </c>
    </row>
    <row r="74" spans="2:2" ht="6" customHeight="1" x14ac:dyDescent="0.3">
      <c r="B74" s="36"/>
    </row>
    <row r="75" spans="2:2" x14ac:dyDescent="0.3">
      <c r="B75" s="38" t="s">
        <v>484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7"/>
  <sheetViews>
    <sheetView showGridLines="0" zoomScaleNormal="100" workbookViewId="0">
      <selection sqref="A1:K1"/>
    </sheetView>
  </sheetViews>
  <sheetFormatPr defaultColWidth="8.6640625" defaultRowHeight="14.4" x14ac:dyDescent="0.3"/>
  <cols>
    <col min="1" max="1" width="5" customWidth="1"/>
    <col min="2" max="2" width="24" customWidth="1"/>
    <col min="3" max="9" width="5" customWidth="1"/>
    <col min="10" max="10" width="7" customWidth="1"/>
  </cols>
  <sheetData>
    <row r="1" spans="1:11" ht="17.399999999999999" x14ac:dyDescent="0.3">
      <c r="A1" s="51" t="s">
        <v>94</v>
      </c>
      <c r="B1" s="51"/>
      <c r="C1" s="51"/>
      <c r="D1" s="51"/>
      <c r="E1" s="51"/>
      <c r="F1" s="51"/>
      <c r="G1" s="51"/>
      <c r="H1" s="51"/>
      <c r="I1" s="51"/>
      <c r="J1" s="51"/>
      <c r="K1" s="51"/>
    </row>
    <row r="2" spans="1:11" x14ac:dyDescent="0.3">
      <c r="A2" s="44" t="s">
        <v>95</v>
      </c>
      <c r="B2" s="44"/>
      <c r="C2" s="44"/>
      <c r="D2" s="44"/>
      <c r="E2" s="44"/>
      <c r="F2" s="44"/>
      <c r="G2" s="44"/>
      <c r="H2" s="44"/>
      <c r="I2" s="44"/>
      <c r="J2" s="44"/>
      <c r="K2" s="44"/>
    </row>
    <row r="4" spans="1:11" x14ac:dyDescent="0.3">
      <c r="A4" s="6" t="s">
        <v>6</v>
      </c>
      <c r="B4" s="6" t="s">
        <v>96</v>
      </c>
      <c r="C4" s="54" t="s">
        <v>58</v>
      </c>
      <c r="D4" s="55" t="s">
        <v>59</v>
      </c>
      <c r="E4" s="56" t="s">
        <v>60</v>
      </c>
      <c r="F4" s="57" t="s">
        <v>61</v>
      </c>
      <c r="G4" s="58" t="s">
        <v>62</v>
      </c>
      <c r="H4" s="59" t="s">
        <v>63</v>
      </c>
      <c r="I4" s="60" t="s">
        <v>64</v>
      </c>
      <c r="J4" s="6" t="s">
        <v>41</v>
      </c>
    </row>
    <row r="5" spans="1:11" x14ac:dyDescent="0.3">
      <c r="A5" s="9">
        <v>1</v>
      </c>
      <c r="B5" s="35" t="s">
        <v>97</v>
      </c>
      <c r="C5" s="9"/>
      <c r="D5" s="9"/>
      <c r="E5" s="74">
        <v>1</v>
      </c>
      <c r="F5" s="9"/>
      <c r="G5" s="9"/>
      <c r="H5" s="9"/>
      <c r="I5" s="75">
        <v>3</v>
      </c>
      <c r="J5" s="1">
        <v>72</v>
      </c>
    </row>
    <row r="6" spans="1:11" x14ac:dyDescent="0.3">
      <c r="A6" s="9">
        <v>2</v>
      </c>
      <c r="B6" s="35" t="s">
        <v>98</v>
      </c>
      <c r="C6" s="9"/>
      <c r="D6" s="9"/>
      <c r="E6" s="9"/>
      <c r="F6" s="76">
        <v>1</v>
      </c>
      <c r="G6" s="9"/>
      <c r="H6" s="77">
        <v>1</v>
      </c>
      <c r="I6" s="75">
        <v>2</v>
      </c>
      <c r="J6" s="1">
        <v>72</v>
      </c>
    </row>
    <row r="7" spans="1:11" x14ac:dyDescent="0.3">
      <c r="A7" s="9">
        <v>3</v>
      </c>
      <c r="B7" s="35" t="s">
        <v>99</v>
      </c>
      <c r="C7" s="9"/>
      <c r="D7" s="9"/>
      <c r="E7" s="9"/>
      <c r="F7" s="9"/>
      <c r="G7" s="78">
        <v>2</v>
      </c>
      <c r="H7" s="9"/>
      <c r="I7" s="75">
        <v>2</v>
      </c>
      <c r="J7" s="1">
        <v>72</v>
      </c>
    </row>
    <row r="8" spans="1:11" x14ac:dyDescent="0.3">
      <c r="A8" s="9">
        <v>4</v>
      </c>
      <c r="B8" s="35" t="s">
        <v>100</v>
      </c>
      <c r="C8" s="9"/>
      <c r="D8" s="9"/>
      <c r="E8" s="9"/>
      <c r="F8" s="9"/>
      <c r="G8" s="78">
        <v>1</v>
      </c>
      <c r="H8" s="77">
        <v>2</v>
      </c>
      <c r="I8" s="75">
        <v>1</v>
      </c>
      <c r="J8" s="1">
        <v>72</v>
      </c>
    </row>
    <row r="9" spans="1:11" x14ac:dyDescent="0.3">
      <c r="A9" s="9">
        <v>5</v>
      </c>
      <c r="B9" s="35" t="s">
        <v>101</v>
      </c>
      <c r="C9" s="9"/>
      <c r="D9" s="9"/>
      <c r="E9" s="9"/>
      <c r="F9" s="9"/>
      <c r="G9" s="9"/>
      <c r="H9" s="77">
        <v>4</v>
      </c>
      <c r="I9" s="9"/>
      <c r="J9" s="1">
        <v>72</v>
      </c>
    </row>
    <row r="10" spans="1:11" x14ac:dyDescent="0.3">
      <c r="A10" s="9">
        <v>6</v>
      </c>
      <c r="B10" s="35" t="s">
        <v>102</v>
      </c>
      <c r="C10" s="79">
        <v>2</v>
      </c>
      <c r="D10" s="9"/>
      <c r="E10" s="9"/>
      <c r="F10" s="9"/>
      <c r="G10" s="78">
        <v>1</v>
      </c>
      <c r="H10" s="9"/>
      <c r="I10" s="75">
        <v>2</v>
      </c>
      <c r="J10" s="1">
        <v>72</v>
      </c>
    </row>
    <row r="11" spans="1:11" x14ac:dyDescent="0.3">
      <c r="A11" s="9">
        <v>7</v>
      </c>
      <c r="B11" s="35" t="s">
        <v>103</v>
      </c>
      <c r="C11" s="79">
        <v>1</v>
      </c>
      <c r="D11" s="80">
        <v>1</v>
      </c>
      <c r="E11" s="9"/>
      <c r="F11" s="76">
        <v>1</v>
      </c>
      <c r="G11" s="9"/>
      <c r="H11" s="9"/>
      <c r="I11" s="75">
        <v>2</v>
      </c>
      <c r="J11" s="1">
        <v>72</v>
      </c>
    </row>
    <row r="12" spans="1:11" x14ac:dyDescent="0.3">
      <c r="A12" s="9">
        <v>8</v>
      </c>
      <c r="B12" s="35" t="s">
        <v>104</v>
      </c>
      <c r="C12" s="79">
        <v>1</v>
      </c>
      <c r="D12" s="9"/>
      <c r="E12" s="74">
        <v>2</v>
      </c>
      <c r="F12" s="9"/>
      <c r="G12" s="9"/>
      <c r="H12" s="9"/>
      <c r="I12" s="75">
        <v>2</v>
      </c>
      <c r="J12" s="1">
        <v>72</v>
      </c>
    </row>
    <row r="13" spans="1:11" x14ac:dyDescent="0.3">
      <c r="A13" s="9">
        <v>9</v>
      </c>
      <c r="B13" s="35" t="s">
        <v>105</v>
      </c>
      <c r="C13" s="9"/>
      <c r="D13" s="80">
        <v>2</v>
      </c>
      <c r="E13" s="74">
        <v>1</v>
      </c>
      <c r="F13" s="9"/>
      <c r="G13" s="9"/>
      <c r="H13" s="9"/>
      <c r="I13" s="75">
        <v>2</v>
      </c>
      <c r="J13" s="1">
        <v>72</v>
      </c>
    </row>
    <row r="14" spans="1:11" x14ac:dyDescent="0.3">
      <c r="A14" s="9">
        <v>10</v>
      </c>
      <c r="B14" s="35" t="s">
        <v>106</v>
      </c>
      <c r="C14" s="79">
        <v>2</v>
      </c>
      <c r="D14" s="9"/>
      <c r="E14" s="9"/>
      <c r="F14" s="9"/>
      <c r="G14" s="9"/>
      <c r="H14" s="77">
        <v>2</v>
      </c>
      <c r="I14" s="75">
        <v>1</v>
      </c>
      <c r="J14" s="1">
        <v>72</v>
      </c>
    </row>
    <row r="15" spans="1:11" x14ac:dyDescent="0.3">
      <c r="A15" s="9">
        <v>11</v>
      </c>
      <c r="B15" s="35" t="s">
        <v>107</v>
      </c>
      <c r="C15" s="79">
        <v>1</v>
      </c>
      <c r="D15" s="80">
        <v>1</v>
      </c>
      <c r="E15" s="9"/>
      <c r="F15" s="9"/>
      <c r="G15" s="78">
        <v>1</v>
      </c>
      <c r="H15" s="77">
        <v>1</v>
      </c>
      <c r="I15" s="75">
        <v>1</v>
      </c>
      <c r="J15" s="1">
        <v>72</v>
      </c>
    </row>
    <row r="16" spans="1:11" x14ac:dyDescent="0.3">
      <c r="A16" s="9">
        <v>12</v>
      </c>
      <c r="B16" s="35" t="s">
        <v>108</v>
      </c>
      <c r="C16" s="79">
        <v>1</v>
      </c>
      <c r="D16" s="9"/>
      <c r="E16" s="74">
        <v>1</v>
      </c>
      <c r="F16" s="76">
        <v>1</v>
      </c>
      <c r="G16" s="9"/>
      <c r="H16" s="77">
        <v>1</v>
      </c>
      <c r="I16" s="75">
        <v>1</v>
      </c>
      <c r="J16" s="1">
        <v>72</v>
      </c>
    </row>
    <row r="17" spans="1:10" x14ac:dyDescent="0.3">
      <c r="A17" s="9">
        <v>13</v>
      </c>
      <c r="B17" s="35" t="s">
        <v>109</v>
      </c>
      <c r="C17" s="9"/>
      <c r="D17" s="80">
        <v>2</v>
      </c>
      <c r="E17" s="9"/>
      <c r="F17" s="76">
        <v>1</v>
      </c>
      <c r="G17" s="9"/>
      <c r="H17" s="77">
        <v>1</v>
      </c>
      <c r="I17" s="75">
        <v>1</v>
      </c>
      <c r="J17" s="1">
        <v>72</v>
      </c>
    </row>
    <row r="18" spans="1:10" x14ac:dyDescent="0.3">
      <c r="A18" s="9">
        <v>14</v>
      </c>
      <c r="B18" s="35" t="s">
        <v>110</v>
      </c>
      <c r="C18" s="9"/>
      <c r="D18" s="80">
        <v>1</v>
      </c>
      <c r="E18" s="74">
        <v>2</v>
      </c>
      <c r="F18" s="9"/>
      <c r="G18" s="9"/>
      <c r="H18" s="77">
        <v>1</v>
      </c>
      <c r="I18" s="75">
        <v>1</v>
      </c>
      <c r="J18" s="1">
        <v>72</v>
      </c>
    </row>
    <row r="19" spans="1:10" x14ac:dyDescent="0.3">
      <c r="A19" s="9">
        <v>15</v>
      </c>
      <c r="B19" s="35" t="s">
        <v>111</v>
      </c>
      <c r="C19" s="79">
        <v>1</v>
      </c>
      <c r="D19" s="9"/>
      <c r="E19" s="74">
        <v>1</v>
      </c>
      <c r="F19" s="9"/>
      <c r="G19" s="78">
        <v>2</v>
      </c>
      <c r="H19" s="9"/>
      <c r="I19" s="75">
        <v>1</v>
      </c>
      <c r="J19" s="1">
        <v>72</v>
      </c>
    </row>
    <row r="20" spans="1:10" x14ac:dyDescent="0.3">
      <c r="A20" s="9">
        <v>16</v>
      </c>
      <c r="B20" s="35" t="s">
        <v>112</v>
      </c>
      <c r="C20" s="9"/>
      <c r="D20" s="80">
        <v>2</v>
      </c>
      <c r="E20" s="9"/>
      <c r="F20" s="9"/>
      <c r="G20" s="78">
        <v>2</v>
      </c>
      <c r="H20" s="9"/>
      <c r="I20" s="75">
        <v>1</v>
      </c>
      <c r="J20" s="1">
        <v>72</v>
      </c>
    </row>
    <row r="21" spans="1:10" x14ac:dyDescent="0.3">
      <c r="A21" s="9">
        <v>17</v>
      </c>
      <c r="B21" s="35" t="s">
        <v>113</v>
      </c>
      <c r="C21" s="79">
        <v>1</v>
      </c>
      <c r="D21" s="9"/>
      <c r="E21" s="9"/>
      <c r="F21" s="76">
        <v>2</v>
      </c>
      <c r="G21" s="78">
        <v>1</v>
      </c>
      <c r="H21" s="9"/>
      <c r="I21" s="75">
        <v>1</v>
      </c>
      <c r="J21" s="1">
        <v>72</v>
      </c>
    </row>
    <row r="22" spans="1:10" x14ac:dyDescent="0.3">
      <c r="A22" s="9">
        <v>18</v>
      </c>
      <c r="B22" s="35" t="s">
        <v>114</v>
      </c>
      <c r="C22" s="9"/>
      <c r="D22" s="80">
        <v>1</v>
      </c>
      <c r="E22" s="74">
        <v>1</v>
      </c>
      <c r="F22" s="76">
        <v>1</v>
      </c>
      <c r="G22" s="78">
        <v>1</v>
      </c>
      <c r="H22" s="9"/>
      <c r="I22" s="75">
        <v>1</v>
      </c>
      <c r="J22" s="1">
        <v>72</v>
      </c>
    </row>
    <row r="23" spans="1:10" x14ac:dyDescent="0.3">
      <c r="A23" s="9">
        <v>19</v>
      </c>
      <c r="B23" s="35" t="s">
        <v>115</v>
      </c>
      <c r="C23" s="9"/>
      <c r="D23" s="9"/>
      <c r="E23" s="74">
        <v>3</v>
      </c>
      <c r="F23" s="9"/>
      <c r="G23" s="78">
        <v>1</v>
      </c>
      <c r="H23" s="9"/>
      <c r="I23" s="75">
        <v>1</v>
      </c>
      <c r="J23" s="1">
        <v>72</v>
      </c>
    </row>
    <row r="24" spans="1:10" x14ac:dyDescent="0.3">
      <c r="A24" s="9">
        <v>20</v>
      </c>
      <c r="B24" s="35" t="s">
        <v>116</v>
      </c>
      <c r="C24" s="9"/>
      <c r="D24" s="80">
        <v>1</v>
      </c>
      <c r="E24" s="9"/>
      <c r="F24" s="76">
        <v>3</v>
      </c>
      <c r="G24" s="9"/>
      <c r="H24" s="9"/>
      <c r="I24" s="75">
        <v>1</v>
      </c>
      <c r="J24" s="1">
        <v>72</v>
      </c>
    </row>
    <row r="25" spans="1:10" x14ac:dyDescent="0.3">
      <c r="A25" s="9">
        <v>21</v>
      </c>
      <c r="B25" s="35" t="s">
        <v>117</v>
      </c>
      <c r="C25" s="9"/>
      <c r="D25" s="9"/>
      <c r="E25" s="74">
        <v>2</v>
      </c>
      <c r="F25" s="76">
        <v>2</v>
      </c>
      <c r="G25" s="9"/>
      <c r="H25" s="9"/>
      <c r="I25" s="75">
        <v>1</v>
      </c>
      <c r="J25" s="1">
        <v>72</v>
      </c>
    </row>
    <row r="26" spans="1:10" x14ac:dyDescent="0.3">
      <c r="A26" s="9">
        <v>22</v>
      </c>
      <c r="B26" s="35" t="s">
        <v>118</v>
      </c>
      <c r="C26" s="79">
        <v>1</v>
      </c>
      <c r="D26" s="80">
        <v>1</v>
      </c>
      <c r="E26" s="9"/>
      <c r="F26" s="9"/>
      <c r="G26" s="9"/>
      <c r="H26" s="77">
        <v>3</v>
      </c>
      <c r="I26" s="9"/>
      <c r="J26" s="1">
        <v>72</v>
      </c>
    </row>
    <row r="27" spans="1:10" x14ac:dyDescent="0.3">
      <c r="A27" s="9">
        <v>23</v>
      </c>
      <c r="B27" s="35" t="s">
        <v>119</v>
      </c>
      <c r="C27" s="79">
        <v>1</v>
      </c>
      <c r="D27" s="9"/>
      <c r="E27" s="74">
        <v>1</v>
      </c>
      <c r="F27" s="9"/>
      <c r="G27" s="78">
        <v>1</v>
      </c>
      <c r="H27" s="77">
        <v>2</v>
      </c>
      <c r="I27" s="9"/>
      <c r="J27" s="1">
        <v>72</v>
      </c>
    </row>
    <row r="28" spans="1:10" x14ac:dyDescent="0.3">
      <c r="A28" s="9">
        <v>24</v>
      </c>
      <c r="B28" s="35" t="s">
        <v>120</v>
      </c>
      <c r="C28" s="9"/>
      <c r="D28" s="80">
        <v>2</v>
      </c>
      <c r="E28" s="9"/>
      <c r="F28" s="9"/>
      <c r="G28" s="78">
        <v>1</v>
      </c>
      <c r="H28" s="77">
        <v>2</v>
      </c>
      <c r="I28" s="9"/>
      <c r="J28" s="1">
        <v>72</v>
      </c>
    </row>
    <row r="29" spans="1:10" x14ac:dyDescent="0.3">
      <c r="A29" s="9">
        <v>25</v>
      </c>
      <c r="B29" s="35" t="s">
        <v>121</v>
      </c>
      <c r="C29" s="79">
        <v>1</v>
      </c>
      <c r="D29" s="9"/>
      <c r="E29" s="9"/>
      <c r="F29" s="76">
        <v>2</v>
      </c>
      <c r="G29" s="9"/>
      <c r="H29" s="77">
        <v>2</v>
      </c>
      <c r="I29" s="9"/>
      <c r="J29" s="1">
        <v>72</v>
      </c>
    </row>
    <row r="30" spans="1:10" x14ac:dyDescent="0.3">
      <c r="A30" s="9">
        <v>26</v>
      </c>
      <c r="B30" s="35" t="s">
        <v>122</v>
      </c>
      <c r="C30" s="9"/>
      <c r="D30" s="80">
        <v>1</v>
      </c>
      <c r="E30" s="74">
        <v>1</v>
      </c>
      <c r="F30" s="76">
        <v>1</v>
      </c>
      <c r="G30" s="9"/>
      <c r="H30" s="77">
        <v>2</v>
      </c>
      <c r="I30" s="9"/>
      <c r="J30" s="1">
        <v>72</v>
      </c>
    </row>
    <row r="31" spans="1:10" x14ac:dyDescent="0.3">
      <c r="A31" s="9">
        <v>27</v>
      </c>
      <c r="B31" s="35" t="s">
        <v>123</v>
      </c>
      <c r="C31" s="9"/>
      <c r="D31" s="9"/>
      <c r="E31" s="74">
        <v>3</v>
      </c>
      <c r="F31" s="9"/>
      <c r="G31" s="9"/>
      <c r="H31" s="77">
        <v>2</v>
      </c>
      <c r="I31" s="9"/>
      <c r="J31" s="1">
        <v>72</v>
      </c>
    </row>
    <row r="32" spans="1:10" x14ac:dyDescent="0.3">
      <c r="A32" s="9">
        <v>28</v>
      </c>
      <c r="B32" s="35" t="s">
        <v>124</v>
      </c>
      <c r="C32" s="79">
        <v>1</v>
      </c>
      <c r="D32" s="9"/>
      <c r="E32" s="9"/>
      <c r="F32" s="76">
        <v>1</v>
      </c>
      <c r="G32" s="78">
        <v>2</v>
      </c>
      <c r="H32" s="77">
        <v>1</v>
      </c>
      <c r="I32" s="9"/>
      <c r="J32" s="1">
        <v>72</v>
      </c>
    </row>
    <row r="33" spans="1:10" x14ac:dyDescent="0.3">
      <c r="A33" s="9">
        <v>29</v>
      </c>
      <c r="B33" s="35" t="s">
        <v>125</v>
      </c>
      <c r="C33" s="9"/>
      <c r="D33" s="80">
        <v>1</v>
      </c>
      <c r="E33" s="74">
        <v>1</v>
      </c>
      <c r="F33" s="9"/>
      <c r="G33" s="78">
        <v>2</v>
      </c>
      <c r="H33" s="77">
        <v>1</v>
      </c>
      <c r="I33" s="9"/>
      <c r="J33" s="1">
        <v>72</v>
      </c>
    </row>
    <row r="34" spans="1:10" x14ac:dyDescent="0.3">
      <c r="A34" s="9">
        <v>30</v>
      </c>
      <c r="B34" s="35" t="s">
        <v>126</v>
      </c>
      <c r="C34" s="9"/>
      <c r="D34" s="80">
        <v>1</v>
      </c>
      <c r="E34" s="9"/>
      <c r="F34" s="76">
        <v>2</v>
      </c>
      <c r="G34" s="78">
        <v>1</v>
      </c>
      <c r="H34" s="77">
        <v>1</v>
      </c>
      <c r="I34" s="9"/>
      <c r="J34" s="1">
        <v>72</v>
      </c>
    </row>
    <row r="35" spans="1:10" x14ac:dyDescent="0.3">
      <c r="A35" s="9">
        <v>31</v>
      </c>
      <c r="B35" s="35" t="s">
        <v>127</v>
      </c>
      <c r="C35" s="9"/>
      <c r="D35" s="9"/>
      <c r="E35" s="74">
        <v>2</v>
      </c>
      <c r="F35" s="76">
        <v>1</v>
      </c>
      <c r="G35" s="78">
        <v>1</v>
      </c>
      <c r="H35" s="77">
        <v>1</v>
      </c>
      <c r="I35" s="9"/>
      <c r="J35" s="1">
        <v>72</v>
      </c>
    </row>
    <row r="36" spans="1:10" x14ac:dyDescent="0.3">
      <c r="A36" s="9">
        <v>32</v>
      </c>
      <c r="B36" s="35" t="s">
        <v>128</v>
      </c>
      <c r="C36" s="9"/>
      <c r="D36" s="9"/>
      <c r="E36" s="74">
        <v>1</v>
      </c>
      <c r="F36" s="76">
        <v>3</v>
      </c>
      <c r="G36" s="9"/>
      <c r="H36" s="77">
        <v>1</v>
      </c>
      <c r="I36" s="9"/>
      <c r="J36" s="1">
        <v>72</v>
      </c>
    </row>
    <row r="37" spans="1:10" x14ac:dyDescent="0.3">
      <c r="A37" s="9">
        <v>33</v>
      </c>
      <c r="B37" s="35" t="s">
        <v>129</v>
      </c>
      <c r="C37" s="79">
        <v>1</v>
      </c>
      <c r="D37" s="9"/>
      <c r="E37" s="9"/>
      <c r="F37" s="9"/>
      <c r="G37" s="78">
        <v>4</v>
      </c>
      <c r="H37" s="9"/>
      <c r="I37" s="9"/>
      <c r="J37" s="1">
        <v>72</v>
      </c>
    </row>
    <row r="38" spans="1:10" x14ac:dyDescent="0.3">
      <c r="A38" s="9">
        <v>34</v>
      </c>
      <c r="B38" s="35" t="s">
        <v>130</v>
      </c>
      <c r="C38" s="9"/>
      <c r="D38" s="80">
        <v>1</v>
      </c>
      <c r="E38" s="9"/>
      <c r="F38" s="76">
        <v>1</v>
      </c>
      <c r="G38" s="78">
        <v>3</v>
      </c>
      <c r="H38" s="9"/>
      <c r="I38" s="9"/>
      <c r="J38" s="1">
        <v>72</v>
      </c>
    </row>
    <row r="39" spans="1:10" x14ac:dyDescent="0.3">
      <c r="A39" s="9">
        <v>35</v>
      </c>
      <c r="B39" s="35" t="s">
        <v>131</v>
      </c>
      <c r="C39" s="9"/>
      <c r="D39" s="9"/>
      <c r="E39" s="74">
        <v>2</v>
      </c>
      <c r="F39" s="9"/>
      <c r="G39" s="78">
        <v>3</v>
      </c>
      <c r="H39" s="9"/>
      <c r="I39" s="9"/>
      <c r="J39" s="1">
        <v>72</v>
      </c>
    </row>
    <row r="40" spans="1:10" x14ac:dyDescent="0.3">
      <c r="A40" s="9">
        <v>36</v>
      </c>
      <c r="B40" s="35" t="s">
        <v>132</v>
      </c>
      <c r="C40" s="9"/>
      <c r="D40" s="9"/>
      <c r="E40" s="74">
        <v>1</v>
      </c>
      <c r="F40" s="76">
        <v>2</v>
      </c>
      <c r="G40" s="78">
        <v>2</v>
      </c>
      <c r="H40" s="9"/>
      <c r="I40" s="9"/>
      <c r="J40" s="1">
        <v>72</v>
      </c>
    </row>
    <row r="41" spans="1:10" x14ac:dyDescent="0.3">
      <c r="A41" s="9">
        <v>37</v>
      </c>
      <c r="B41" s="35" t="s">
        <v>133</v>
      </c>
      <c r="C41" s="9"/>
      <c r="D41" s="9"/>
      <c r="E41" s="9"/>
      <c r="F41" s="76">
        <v>4</v>
      </c>
      <c r="G41" s="78">
        <v>1</v>
      </c>
      <c r="H41" s="9"/>
      <c r="I41" s="9"/>
      <c r="J41" s="1">
        <v>72</v>
      </c>
    </row>
    <row r="42" spans="1:10" x14ac:dyDescent="0.3">
      <c r="A42" s="9">
        <v>38</v>
      </c>
      <c r="B42" s="35" t="s">
        <v>134</v>
      </c>
      <c r="C42" s="79">
        <v>4</v>
      </c>
      <c r="D42" s="9"/>
      <c r="E42" s="9"/>
      <c r="F42" s="9"/>
      <c r="G42" s="9"/>
      <c r="H42" s="9"/>
      <c r="I42" s="75">
        <v>2</v>
      </c>
      <c r="J42" s="1">
        <v>72</v>
      </c>
    </row>
    <row r="43" spans="1:10" x14ac:dyDescent="0.3">
      <c r="A43" s="9">
        <v>39</v>
      </c>
      <c r="B43" s="35" t="s">
        <v>135</v>
      </c>
      <c r="C43" s="79">
        <v>3</v>
      </c>
      <c r="D43" s="80">
        <v>1</v>
      </c>
      <c r="E43" s="9"/>
      <c r="F43" s="9"/>
      <c r="G43" s="9"/>
      <c r="H43" s="77">
        <v>1</v>
      </c>
      <c r="I43" s="75">
        <v>1</v>
      </c>
      <c r="J43" s="1">
        <v>72</v>
      </c>
    </row>
    <row r="44" spans="1:10" x14ac:dyDescent="0.3">
      <c r="A44" s="9">
        <v>40</v>
      </c>
      <c r="B44" s="35" t="s">
        <v>136</v>
      </c>
      <c r="C44" s="79">
        <v>3</v>
      </c>
      <c r="D44" s="9"/>
      <c r="E44" s="74">
        <v>1</v>
      </c>
      <c r="F44" s="9"/>
      <c r="G44" s="78">
        <v>1</v>
      </c>
      <c r="H44" s="9"/>
      <c r="I44" s="75">
        <v>1</v>
      </c>
      <c r="J44" s="1">
        <v>72</v>
      </c>
    </row>
    <row r="45" spans="1:10" x14ac:dyDescent="0.3">
      <c r="A45" s="9">
        <v>41</v>
      </c>
      <c r="B45" s="35" t="s">
        <v>137</v>
      </c>
      <c r="C45" s="79">
        <v>2</v>
      </c>
      <c r="D45" s="80">
        <v>2</v>
      </c>
      <c r="E45" s="9"/>
      <c r="F45" s="9"/>
      <c r="G45" s="78">
        <v>1</v>
      </c>
      <c r="H45" s="9"/>
      <c r="I45" s="75">
        <v>1</v>
      </c>
      <c r="J45" s="1">
        <v>72</v>
      </c>
    </row>
    <row r="46" spans="1:10" x14ac:dyDescent="0.3">
      <c r="A46" s="9">
        <v>42</v>
      </c>
      <c r="B46" s="35" t="s">
        <v>138</v>
      </c>
      <c r="C46" s="79">
        <v>3</v>
      </c>
      <c r="D46" s="9"/>
      <c r="E46" s="9"/>
      <c r="F46" s="76">
        <v>2</v>
      </c>
      <c r="G46" s="9"/>
      <c r="H46" s="9"/>
      <c r="I46" s="75">
        <v>1</v>
      </c>
      <c r="J46" s="1">
        <v>72</v>
      </c>
    </row>
    <row r="47" spans="1:10" x14ac:dyDescent="0.3">
      <c r="A47" s="9">
        <v>43</v>
      </c>
      <c r="B47" s="35" t="s">
        <v>139</v>
      </c>
      <c r="C47" s="79">
        <v>2</v>
      </c>
      <c r="D47" s="80">
        <v>1</v>
      </c>
      <c r="E47" s="74">
        <v>1</v>
      </c>
      <c r="F47" s="76">
        <v>1</v>
      </c>
      <c r="G47" s="9"/>
      <c r="H47" s="9"/>
      <c r="I47" s="75">
        <v>1</v>
      </c>
      <c r="J47" s="1">
        <v>72</v>
      </c>
    </row>
    <row r="48" spans="1:10" x14ac:dyDescent="0.3">
      <c r="A48" s="9">
        <v>44</v>
      </c>
      <c r="B48" s="35" t="s">
        <v>140</v>
      </c>
      <c r="C48" s="79">
        <v>1</v>
      </c>
      <c r="D48" s="80">
        <v>3</v>
      </c>
      <c r="E48" s="9"/>
      <c r="F48" s="76">
        <v>1</v>
      </c>
      <c r="G48" s="9"/>
      <c r="H48" s="9"/>
      <c r="I48" s="75">
        <v>1</v>
      </c>
      <c r="J48" s="1">
        <v>72</v>
      </c>
    </row>
    <row r="49" spans="1:10" x14ac:dyDescent="0.3">
      <c r="A49" s="9">
        <v>45</v>
      </c>
      <c r="B49" s="35" t="s">
        <v>141</v>
      </c>
      <c r="C49" s="79">
        <v>2</v>
      </c>
      <c r="D49" s="9"/>
      <c r="E49" s="74">
        <v>3</v>
      </c>
      <c r="F49" s="9"/>
      <c r="G49" s="9"/>
      <c r="H49" s="9"/>
      <c r="I49" s="75">
        <v>1</v>
      </c>
      <c r="J49" s="1">
        <v>72</v>
      </c>
    </row>
    <row r="50" spans="1:10" x14ac:dyDescent="0.3">
      <c r="A50" s="9">
        <v>46</v>
      </c>
      <c r="B50" s="35" t="s">
        <v>142</v>
      </c>
      <c r="C50" s="79">
        <v>1</v>
      </c>
      <c r="D50" s="80">
        <v>2</v>
      </c>
      <c r="E50" s="74">
        <v>2</v>
      </c>
      <c r="F50" s="9"/>
      <c r="G50" s="9"/>
      <c r="H50" s="9"/>
      <c r="I50" s="75">
        <v>1</v>
      </c>
      <c r="J50" s="1">
        <v>72</v>
      </c>
    </row>
    <row r="51" spans="1:10" x14ac:dyDescent="0.3">
      <c r="A51" s="9">
        <v>47</v>
      </c>
      <c r="B51" s="35" t="s">
        <v>143</v>
      </c>
      <c r="C51" s="9"/>
      <c r="D51" s="80">
        <v>4</v>
      </c>
      <c r="E51" s="74">
        <v>1</v>
      </c>
      <c r="F51" s="9"/>
      <c r="G51" s="9"/>
      <c r="H51" s="9"/>
      <c r="I51" s="75">
        <v>1</v>
      </c>
      <c r="J51" s="1">
        <v>72</v>
      </c>
    </row>
    <row r="52" spans="1:10" x14ac:dyDescent="0.3">
      <c r="A52" s="9">
        <v>48</v>
      </c>
      <c r="B52" s="35" t="s">
        <v>144</v>
      </c>
      <c r="C52" s="79">
        <v>3</v>
      </c>
      <c r="D52" s="9"/>
      <c r="E52" s="74">
        <v>1</v>
      </c>
      <c r="F52" s="9"/>
      <c r="G52" s="9"/>
      <c r="H52" s="77">
        <v>2</v>
      </c>
      <c r="I52" s="9"/>
      <c r="J52" s="1">
        <v>72</v>
      </c>
    </row>
    <row r="53" spans="1:10" x14ac:dyDescent="0.3">
      <c r="A53" s="9">
        <v>49</v>
      </c>
      <c r="B53" s="35" t="s">
        <v>145</v>
      </c>
      <c r="C53" s="79">
        <v>2</v>
      </c>
      <c r="D53" s="80">
        <v>2</v>
      </c>
      <c r="E53" s="9"/>
      <c r="F53" s="9"/>
      <c r="G53" s="9"/>
      <c r="H53" s="77">
        <v>2</v>
      </c>
      <c r="I53" s="9"/>
      <c r="J53" s="1">
        <v>72</v>
      </c>
    </row>
    <row r="54" spans="1:10" x14ac:dyDescent="0.3">
      <c r="A54" s="9">
        <v>50</v>
      </c>
      <c r="B54" s="35" t="s">
        <v>146</v>
      </c>
      <c r="C54" s="79">
        <v>3</v>
      </c>
      <c r="D54" s="9"/>
      <c r="E54" s="9"/>
      <c r="F54" s="76">
        <v>1</v>
      </c>
      <c r="G54" s="78">
        <v>1</v>
      </c>
      <c r="H54" s="77">
        <v>1</v>
      </c>
      <c r="I54" s="9"/>
      <c r="J54" s="1">
        <v>72</v>
      </c>
    </row>
    <row r="55" spans="1:10" x14ac:dyDescent="0.3">
      <c r="A55" s="9">
        <v>51</v>
      </c>
      <c r="B55" s="35" t="s">
        <v>147</v>
      </c>
      <c r="C55" s="79">
        <v>2</v>
      </c>
      <c r="D55" s="80">
        <v>1</v>
      </c>
      <c r="E55" s="74">
        <v>1</v>
      </c>
      <c r="F55" s="9"/>
      <c r="G55" s="78">
        <v>1</v>
      </c>
      <c r="H55" s="77">
        <v>1</v>
      </c>
      <c r="I55" s="9"/>
      <c r="J55" s="1">
        <v>72</v>
      </c>
    </row>
    <row r="56" spans="1:10" x14ac:dyDescent="0.3">
      <c r="A56" s="9">
        <v>52</v>
      </c>
      <c r="B56" s="35" t="s">
        <v>148</v>
      </c>
      <c r="C56" s="79">
        <v>1</v>
      </c>
      <c r="D56" s="80">
        <v>3</v>
      </c>
      <c r="E56" s="9"/>
      <c r="F56" s="9"/>
      <c r="G56" s="78">
        <v>1</v>
      </c>
      <c r="H56" s="77">
        <v>1</v>
      </c>
      <c r="I56" s="9"/>
      <c r="J56" s="1">
        <v>72</v>
      </c>
    </row>
    <row r="57" spans="1:10" x14ac:dyDescent="0.3">
      <c r="A57" s="9">
        <v>53</v>
      </c>
      <c r="B57" s="35" t="s">
        <v>149</v>
      </c>
      <c r="C57" s="79">
        <v>2</v>
      </c>
      <c r="D57" s="80">
        <v>1</v>
      </c>
      <c r="E57" s="9"/>
      <c r="F57" s="76">
        <v>2</v>
      </c>
      <c r="G57" s="9"/>
      <c r="H57" s="77">
        <v>1</v>
      </c>
      <c r="I57" s="9"/>
      <c r="J57" s="1">
        <v>72</v>
      </c>
    </row>
    <row r="58" spans="1:10" x14ac:dyDescent="0.3">
      <c r="A58" s="9">
        <v>54</v>
      </c>
      <c r="B58" s="35" t="s">
        <v>150</v>
      </c>
      <c r="C58" s="79">
        <v>2</v>
      </c>
      <c r="D58" s="9"/>
      <c r="E58" s="74">
        <v>2</v>
      </c>
      <c r="F58" s="76">
        <v>1</v>
      </c>
      <c r="G58" s="9"/>
      <c r="H58" s="77">
        <v>1</v>
      </c>
      <c r="I58" s="9"/>
      <c r="J58" s="1">
        <v>72</v>
      </c>
    </row>
    <row r="59" spans="1:10" x14ac:dyDescent="0.3">
      <c r="A59" s="9">
        <v>55</v>
      </c>
      <c r="B59" s="35" t="s">
        <v>151</v>
      </c>
      <c r="C59" s="79">
        <v>1</v>
      </c>
      <c r="D59" s="80">
        <v>2</v>
      </c>
      <c r="E59" s="74">
        <v>1</v>
      </c>
      <c r="F59" s="76">
        <v>1</v>
      </c>
      <c r="G59" s="9"/>
      <c r="H59" s="77">
        <v>1</v>
      </c>
      <c r="I59" s="9"/>
      <c r="J59" s="1">
        <v>72</v>
      </c>
    </row>
    <row r="60" spans="1:10" x14ac:dyDescent="0.3">
      <c r="A60" s="9">
        <v>56</v>
      </c>
      <c r="B60" s="35" t="s">
        <v>152</v>
      </c>
      <c r="C60" s="9"/>
      <c r="D60" s="80">
        <v>4</v>
      </c>
      <c r="E60" s="9"/>
      <c r="F60" s="76">
        <v>1</v>
      </c>
      <c r="G60" s="9"/>
      <c r="H60" s="77">
        <v>1</v>
      </c>
      <c r="I60" s="9"/>
      <c r="J60" s="1">
        <v>72</v>
      </c>
    </row>
    <row r="61" spans="1:10" x14ac:dyDescent="0.3">
      <c r="A61" s="9">
        <v>57</v>
      </c>
      <c r="B61" s="35" t="s">
        <v>153</v>
      </c>
      <c r="C61" s="79">
        <v>1</v>
      </c>
      <c r="D61" s="80">
        <v>1</v>
      </c>
      <c r="E61" s="74">
        <v>3</v>
      </c>
      <c r="F61" s="9"/>
      <c r="G61" s="9"/>
      <c r="H61" s="77">
        <v>1</v>
      </c>
      <c r="I61" s="9"/>
      <c r="J61" s="1">
        <v>72</v>
      </c>
    </row>
    <row r="62" spans="1:10" x14ac:dyDescent="0.3">
      <c r="A62" s="9">
        <v>58</v>
      </c>
      <c r="B62" s="35" t="s">
        <v>154</v>
      </c>
      <c r="C62" s="9"/>
      <c r="D62" s="80">
        <v>3</v>
      </c>
      <c r="E62" s="74">
        <v>2</v>
      </c>
      <c r="F62" s="9"/>
      <c r="G62" s="9"/>
      <c r="H62" s="77">
        <v>1</v>
      </c>
      <c r="I62" s="9"/>
      <c r="J62" s="1">
        <v>72</v>
      </c>
    </row>
    <row r="63" spans="1:10" x14ac:dyDescent="0.3">
      <c r="A63" s="9">
        <v>59</v>
      </c>
      <c r="B63" s="35" t="s">
        <v>155</v>
      </c>
      <c r="C63" s="79">
        <v>3</v>
      </c>
      <c r="D63" s="9"/>
      <c r="E63" s="9"/>
      <c r="F63" s="9"/>
      <c r="G63" s="78">
        <v>3</v>
      </c>
      <c r="H63" s="9"/>
      <c r="I63" s="9"/>
      <c r="J63" s="1">
        <v>72</v>
      </c>
    </row>
    <row r="64" spans="1:10" x14ac:dyDescent="0.3">
      <c r="A64" s="9">
        <v>60</v>
      </c>
      <c r="B64" s="35" t="s">
        <v>156</v>
      </c>
      <c r="C64" s="79">
        <v>2</v>
      </c>
      <c r="D64" s="80">
        <v>1</v>
      </c>
      <c r="E64" s="9"/>
      <c r="F64" s="76">
        <v>1</v>
      </c>
      <c r="G64" s="78">
        <v>2</v>
      </c>
      <c r="H64" s="9"/>
      <c r="I64" s="9"/>
      <c r="J64" s="1">
        <v>72</v>
      </c>
    </row>
    <row r="65" spans="1:10" x14ac:dyDescent="0.3">
      <c r="A65" s="9">
        <v>61</v>
      </c>
      <c r="B65" s="35" t="s">
        <v>157</v>
      </c>
      <c r="C65" s="79">
        <v>2</v>
      </c>
      <c r="D65" s="9"/>
      <c r="E65" s="74">
        <v>2</v>
      </c>
      <c r="F65" s="9"/>
      <c r="G65" s="78">
        <v>2</v>
      </c>
      <c r="H65" s="9"/>
      <c r="I65" s="9"/>
      <c r="J65" s="1">
        <v>72</v>
      </c>
    </row>
    <row r="66" spans="1:10" x14ac:dyDescent="0.3">
      <c r="A66" s="9">
        <v>62</v>
      </c>
      <c r="B66" s="35" t="s">
        <v>158</v>
      </c>
      <c r="C66" s="79">
        <v>1</v>
      </c>
      <c r="D66" s="80">
        <v>2</v>
      </c>
      <c r="E66" s="74">
        <v>1</v>
      </c>
      <c r="F66" s="9"/>
      <c r="G66" s="78">
        <v>2</v>
      </c>
      <c r="H66" s="9"/>
      <c r="I66" s="9"/>
      <c r="J66" s="1">
        <v>72</v>
      </c>
    </row>
    <row r="67" spans="1:10" x14ac:dyDescent="0.3">
      <c r="A67" s="9">
        <v>63</v>
      </c>
      <c r="B67" s="35" t="s">
        <v>159</v>
      </c>
      <c r="C67" s="9"/>
      <c r="D67" s="80">
        <v>4</v>
      </c>
      <c r="E67" s="9"/>
      <c r="F67" s="9"/>
      <c r="G67" s="78">
        <v>2</v>
      </c>
      <c r="H67" s="9"/>
      <c r="I67" s="9"/>
      <c r="J67" s="1">
        <v>72</v>
      </c>
    </row>
    <row r="68" spans="1:10" x14ac:dyDescent="0.3">
      <c r="A68" s="9">
        <v>64</v>
      </c>
      <c r="B68" s="35" t="s">
        <v>160</v>
      </c>
      <c r="C68" s="79">
        <v>2</v>
      </c>
      <c r="D68" s="9"/>
      <c r="E68" s="74">
        <v>1</v>
      </c>
      <c r="F68" s="76">
        <v>2</v>
      </c>
      <c r="G68" s="78">
        <v>1</v>
      </c>
      <c r="H68" s="9"/>
      <c r="I68" s="9"/>
      <c r="J68" s="1">
        <v>72</v>
      </c>
    </row>
    <row r="69" spans="1:10" x14ac:dyDescent="0.3">
      <c r="A69" s="9">
        <v>65</v>
      </c>
      <c r="B69" s="35" t="s">
        <v>161</v>
      </c>
      <c r="C69" s="79">
        <v>1</v>
      </c>
      <c r="D69" s="80">
        <v>2</v>
      </c>
      <c r="E69" s="9"/>
      <c r="F69" s="76">
        <v>2</v>
      </c>
      <c r="G69" s="78">
        <v>1</v>
      </c>
      <c r="H69" s="9"/>
      <c r="I69" s="9"/>
      <c r="J69" s="1">
        <v>72</v>
      </c>
    </row>
    <row r="70" spans="1:10" x14ac:dyDescent="0.3">
      <c r="A70" s="9">
        <v>66</v>
      </c>
      <c r="B70" s="35" t="s">
        <v>162</v>
      </c>
      <c r="C70" s="79">
        <v>1</v>
      </c>
      <c r="D70" s="80">
        <v>1</v>
      </c>
      <c r="E70" s="74">
        <v>2</v>
      </c>
      <c r="F70" s="76">
        <v>1</v>
      </c>
      <c r="G70" s="78">
        <v>1</v>
      </c>
      <c r="H70" s="9"/>
      <c r="I70" s="9"/>
      <c r="J70" s="1">
        <v>72</v>
      </c>
    </row>
    <row r="71" spans="1:10" x14ac:dyDescent="0.3">
      <c r="A71" s="9">
        <v>67</v>
      </c>
      <c r="B71" s="35" t="s">
        <v>163</v>
      </c>
      <c r="C71" s="9"/>
      <c r="D71" s="80">
        <v>3</v>
      </c>
      <c r="E71" s="74">
        <v>1</v>
      </c>
      <c r="F71" s="76">
        <v>1</v>
      </c>
      <c r="G71" s="78">
        <v>1</v>
      </c>
      <c r="H71" s="9"/>
      <c r="I71" s="9"/>
      <c r="J71" s="1">
        <v>72</v>
      </c>
    </row>
    <row r="72" spans="1:10" x14ac:dyDescent="0.3">
      <c r="A72" s="9">
        <v>68</v>
      </c>
      <c r="B72" s="35" t="s">
        <v>164</v>
      </c>
      <c r="C72" s="79">
        <v>1</v>
      </c>
      <c r="D72" s="9"/>
      <c r="E72" s="74">
        <v>4</v>
      </c>
      <c r="F72" s="9"/>
      <c r="G72" s="78">
        <v>1</v>
      </c>
      <c r="H72" s="9"/>
      <c r="I72" s="9"/>
      <c r="J72" s="1">
        <v>72</v>
      </c>
    </row>
    <row r="73" spans="1:10" x14ac:dyDescent="0.3">
      <c r="A73" s="9">
        <v>69</v>
      </c>
      <c r="B73" s="35" t="s">
        <v>165</v>
      </c>
      <c r="C73" s="9"/>
      <c r="D73" s="80">
        <v>2</v>
      </c>
      <c r="E73" s="74">
        <v>3</v>
      </c>
      <c r="F73" s="9"/>
      <c r="G73" s="78">
        <v>1</v>
      </c>
      <c r="H73" s="9"/>
      <c r="I73" s="9"/>
      <c r="J73" s="1">
        <v>72</v>
      </c>
    </row>
    <row r="74" spans="1:10" x14ac:dyDescent="0.3">
      <c r="A74" s="9">
        <v>70</v>
      </c>
      <c r="B74" s="35" t="s">
        <v>166</v>
      </c>
      <c r="C74" s="79">
        <v>2</v>
      </c>
      <c r="D74" s="9"/>
      <c r="E74" s="9"/>
      <c r="F74" s="76">
        <v>4</v>
      </c>
      <c r="G74" s="9"/>
      <c r="H74" s="9"/>
      <c r="I74" s="9"/>
      <c r="J74" s="1">
        <v>72</v>
      </c>
    </row>
    <row r="75" spans="1:10" x14ac:dyDescent="0.3">
      <c r="A75" s="9">
        <v>71</v>
      </c>
      <c r="B75" s="35" t="s">
        <v>167</v>
      </c>
      <c r="C75" s="79">
        <v>1</v>
      </c>
      <c r="D75" s="80">
        <v>1</v>
      </c>
      <c r="E75" s="74">
        <v>1</v>
      </c>
      <c r="F75" s="76">
        <v>3</v>
      </c>
      <c r="G75" s="9"/>
      <c r="H75" s="9"/>
      <c r="I75" s="9"/>
      <c r="J75" s="1">
        <v>72</v>
      </c>
    </row>
    <row r="76" spans="1:10" x14ac:dyDescent="0.3">
      <c r="A76" s="9">
        <v>72</v>
      </c>
      <c r="B76" s="35" t="s">
        <v>168</v>
      </c>
      <c r="C76" s="9"/>
      <c r="D76" s="80">
        <v>3</v>
      </c>
      <c r="E76" s="9"/>
      <c r="F76" s="76">
        <v>3</v>
      </c>
      <c r="G76" s="9"/>
      <c r="H76" s="9"/>
      <c r="I76" s="9"/>
      <c r="J76" s="1">
        <v>72</v>
      </c>
    </row>
    <row r="77" spans="1:10" x14ac:dyDescent="0.3">
      <c r="A77" s="9">
        <v>73</v>
      </c>
      <c r="B77" s="35" t="s">
        <v>169</v>
      </c>
      <c r="C77" s="79">
        <v>1</v>
      </c>
      <c r="D77" s="9"/>
      <c r="E77" s="74">
        <v>3</v>
      </c>
      <c r="F77" s="76">
        <v>2</v>
      </c>
      <c r="G77" s="9"/>
      <c r="H77" s="9"/>
      <c r="I77" s="9"/>
      <c r="J77" s="1">
        <v>72</v>
      </c>
    </row>
    <row r="78" spans="1:10" x14ac:dyDescent="0.3">
      <c r="A78" s="9">
        <v>74</v>
      </c>
      <c r="B78" s="35" t="s">
        <v>170</v>
      </c>
      <c r="C78" s="9"/>
      <c r="D78" s="80">
        <v>2</v>
      </c>
      <c r="E78" s="74">
        <v>2</v>
      </c>
      <c r="F78" s="76">
        <v>2</v>
      </c>
      <c r="G78" s="9"/>
      <c r="H78" s="9"/>
      <c r="I78" s="9"/>
      <c r="J78" s="1">
        <v>72</v>
      </c>
    </row>
    <row r="79" spans="1:10" x14ac:dyDescent="0.3">
      <c r="A79" s="9">
        <v>75</v>
      </c>
      <c r="B79" s="35" t="s">
        <v>171</v>
      </c>
      <c r="C79" s="9"/>
      <c r="D79" s="80">
        <v>1</v>
      </c>
      <c r="E79" s="74">
        <v>4</v>
      </c>
      <c r="F79" s="76">
        <v>1</v>
      </c>
      <c r="G79" s="9"/>
      <c r="H79" s="9"/>
      <c r="I79" s="9"/>
      <c r="J79" s="1">
        <v>72</v>
      </c>
    </row>
    <row r="80" spans="1:10" x14ac:dyDescent="0.3">
      <c r="A80" s="9">
        <v>76</v>
      </c>
      <c r="B80" s="35" t="s">
        <v>172</v>
      </c>
      <c r="C80" s="9"/>
      <c r="D80" s="9"/>
      <c r="E80" s="74">
        <v>6</v>
      </c>
      <c r="F80" s="9"/>
      <c r="G80" s="9"/>
      <c r="H80" s="9"/>
      <c r="I80" s="9"/>
      <c r="J80" s="1">
        <v>72</v>
      </c>
    </row>
    <row r="81" spans="1:10" x14ac:dyDescent="0.3">
      <c r="A81" s="9">
        <v>77</v>
      </c>
      <c r="B81" s="35" t="s">
        <v>173</v>
      </c>
      <c r="C81" s="79">
        <v>5</v>
      </c>
      <c r="D81" s="9"/>
      <c r="E81" s="74">
        <v>1</v>
      </c>
      <c r="F81" s="9"/>
      <c r="G81" s="9"/>
      <c r="H81" s="9"/>
      <c r="I81" s="75">
        <v>1</v>
      </c>
      <c r="J81" s="1">
        <v>72</v>
      </c>
    </row>
    <row r="82" spans="1:10" x14ac:dyDescent="0.3">
      <c r="A82" s="9">
        <v>78</v>
      </c>
      <c r="B82" s="35" t="s">
        <v>174</v>
      </c>
      <c r="C82" s="79">
        <v>4</v>
      </c>
      <c r="D82" s="80">
        <v>2</v>
      </c>
      <c r="E82" s="9"/>
      <c r="F82" s="9"/>
      <c r="G82" s="9"/>
      <c r="H82" s="9"/>
      <c r="I82" s="75">
        <v>1</v>
      </c>
      <c r="J82" s="1">
        <v>72</v>
      </c>
    </row>
    <row r="83" spans="1:10" x14ac:dyDescent="0.3">
      <c r="A83" s="9">
        <v>79</v>
      </c>
      <c r="B83" s="35" t="s">
        <v>175</v>
      </c>
      <c r="C83" s="79">
        <v>5</v>
      </c>
      <c r="D83" s="9"/>
      <c r="E83" s="9"/>
      <c r="F83" s="76">
        <v>1</v>
      </c>
      <c r="G83" s="9"/>
      <c r="H83" s="77">
        <v>1</v>
      </c>
      <c r="I83" s="9"/>
      <c r="J83" s="1">
        <v>72</v>
      </c>
    </row>
    <row r="84" spans="1:10" x14ac:dyDescent="0.3">
      <c r="A84" s="9">
        <v>80</v>
      </c>
      <c r="B84" s="35" t="s">
        <v>176</v>
      </c>
      <c r="C84" s="79">
        <v>4</v>
      </c>
      <c r="D84" s="80">
        <v>1</v>
      </c>
      <c r="E84" s="74">
        <v>1</v>
      </c>
      <c r="F84" s="9"/>
      <c r="G84" s="9"/>
      <c r="H84" s="77">
        <v>1</v>
      </c>
      <c r="I84" s="9"/>
      <c r="J84" s="1">
        <v>72</v>
      </c>
    </row>
    <row r="85" spans="1:10" x14ac:dyDescent="0.3">
      <c r="A85" s="9">
        <v>81</v>
      </c>
      <c r="B85" s="35" t="s">
        <v>177</v>
      </c>
      <c r="C85" s="79">
        <v>3</v>
      </c>
      <c r="D85" s="80">
        <v>3</v>
      </c>
      <c r="E85" s="9"/>
      <c r="F85" s="9"/>
      <c r="G85" s="9"/>
      <c r="H85" s="77">
        <v>1</v>
      </c>
      <c r="I85" s="9"/>
      <c r="J85" s="1">
        <v>72</v>
      </c>
    </row>
    <row r="86" spans="1:10" x14ac:dyDescent="0.3">
      <c r="A86" s="9">
        <v>82</v>
      </c>
      <c r="B86" s="35" t="s">
        <v>178</v>
      </c>
      <c r="C86" s="79">
        <v>5</v>
      </c>
      <c r="D86" s="9"/>
      <c r="E86" s="9"/>
      <c r="F86" s="9"/>
      <c r="G86" s="78">
        <v>2</v>
      </c>
      <c r="H86" s="9"/>
      <c r="I86" s="9"/>
      <c r="J86" s="1">
        <v>72</v>
      </c>
    </row>
    <row r="87" spans="1:10" x14ac:dyDescent="0.3">
      <c r="A87" s="9">
        <v>83</v>
      </c>
      <c r="B87" s="35" t="s">
        <v>179</v>
      </c>
      <c r="C87" s="79">
        <v>4</v>
      </c>
      <c r="D87" s="80">
        <v>1</v>
      </c>
      <c r="E87" s="9"/>
      <c r="F87" s="76">
        <v>1</v>
      </c>
      <c r="G87" s="78">
        <v>1</v>
      </c>
      <c r="H87" s="9"/>
      <c r="I87" s="9"/>
      <c r="J87" s="1">
        <v>72</v>
      </c>
    </row>
    <row r="88" spans="1:10" x14ac:dyDescent="0.3">
      <c r="A88" s="9">
        <v>84</v>
      </c>
      <c r="B88" s="35" t="s">
        <v>180</v>
      </c>
      <c r="C88" s="79">
        <v>4</v>
      </c>
      <c r="D88" s="9"/>
      <c r="E88" s="74">
        <v>2</v>
      </c>
      <c r="F88" s="9"/>
      <c r="G88" s="78">
        <v>1</v>
      </c>
      <c r="H88" s="9"/>
      <c r="I88" s="9"/>
      <c r="J88" s="1">
        <v>72</v>
      </c>
    </row>
    <row r="89" spans="1:10" x14ac:dyDescent="0.3">
      <c r="A89" s="9">
        <v>85</v>
      </c>
      <c r="B89" s="35" t="s">
        <v>181</v>
      </c>
      <c r="C89" s="79">
        <v>3</v>
      </c>
      <c r="D89" s="80">
        <v>2</v>
      </c>
      <c r="E89" s="74">
        <v>1</v>
      </c>
      <c r="F89" s="9"/>
      <c r="G89" s="78">
        <v>1</v>
      </c>
      <c r="H89" s="9"/>
      <c r="I89" s="9"/>
      <c r="J89" s="1">
        <v>72</v>
      </c>
    </row>
    <row r="90" spans="1:10" x14ac:dyDescent="0.3">
      <c r="A90" s="9">
        <v>86</v>
      </c>
      <c r="B90" s="35" t="s">
        <v>182</v>
      </c>
      <c r="C90" s="79">
        <v>2</v>
      </c>
      <c r="D90" s="80">
        <v>4</v>
      </c>
      <c r="E90" s="9"/>
      <c r="F90" s="9"/>
      <c r="G90" s="78">
        <v>1</v>
      </c>
      <c r="H90" s="9"/>
      <c r="I90" s="9"/>
      <c r="J90" s="1">
        <v>72</v>
      </c>
    </row>
    <row r="91" spans="1:10" x14ac:dyDescent="0.3">
      <c r="A91" s="9">
        <v>87</v>
      </c>
      <c r="B91" s="35" t="s">
        <v>183</v>
      </c>
      <c r="C91" s="79">
        <v>4</v>
      </c>
      <c r="D91" s="9"/>
      <c r="E91" s="74">
        <v>1</v>
      </c>
      <c r="F91" s="76">
        <v>2</v>
      </c>
      <c r="G91" s="9"/>
      <c r="H91" s="9"/>
      <c r="I91" s="9"/>
      <c r="J91" s="1">
        <v>72</v>
      </c>
    </row>
    <row r="92" spans="1:10" x14ac:dyDescent="0.3">
      <c r="A92" s="9">
        <v>88</v>
      </c>
      <c r="B92" s="35" t="s">
        <v>184</v>
      </c>
      <c r="C92" s="79">
        <v>3</v>
      </c>
      <c r="D92" s="80">
        <v>2</v>
      </c>
      <c r="E92" s="9"/>
      <c r="F92" s="76">
        <v>2</v>
      </c>
      <c r="G92" s="9"/>
      <c r="H92" s="9"/>
      <c r="I92" s="9"/>
      <c r="J92" s="1">
        <v>72</v>
      </c>
    </row>
    <row r="93" spans="1:10" x14ac:dyDescent="0.3">
      <c r="A93" s="9">
        <v>89</v>
      </c>
      <c r="B93" s="35" t="s">
        <v>185</v>
      </c>
      <c r="C93" s="79">
        <v>3</v>
      </c>
      <c r="D93" s="80">
        <v>1</v>
      </c>
      <c r="E93" s="74">
        <v>2</v>
      </c>
      <c r="F93" s="76">
        <v>1</v>
      </c>
      <c r="G93" s="9"/>
      <c r="H93" s="9"/>
      <c r="I93" s="9"/>
      <c r="J93" s="1">
        <v>72</v>
      </c>
    </row>
    <row r="94" spans="1:10" x14ac:dyDescent="0.3">
      <c r="A94" s="9">
        <v>90</v>
      </c>
      <c r="B94" s="35" t="s">
        <v>186</v>
      </c>
      <c r="C94" s="79">
        <v>2</v>
      </c>
      <c r="D94" s="80">
        <v>3</v>
      </c>
      <c r="E94" s="74">
        <v>1</v>
      </c>
      <c r="F94" s="76">
        <v>1</v>
      </c>
      <c r="G94" s="9"/>
      <c r="H94" s="9"/>
      <c r="I94" s="9"/>
      <c r="J94" s="1">
        <v>72</v>
      </c>
    </row>
    <row r="95" spans="1:10" x14ac:dyDescent="0.3">
      <c r="A95" s="9">
        <v>91</v>
      </c>
      <c r="B95" s="35" t="s">
        <v>187</v>
      </c>
      <c r="C95" s="79">
        <v>1</v>
      </c>
      <c r="D95" s="80">
        <v>5</v>
      </c>
      <c r="E95" s="9"/>
      <c r="F95" s="76">
        <v>1</v>
      </c>
      <c r="G95" s="9"/>
      <c r="H95" s="9"/>
      <c r="I95" s="9"/>
      <c r="J95" s="1">
        <v>72</v>
      </c>
    </row>
    <row r="96" spans="1:10" x14ac:dyDescent="0.3">
      <c r="A96" s="9">
        <v>92</v>
      </c>
      <c r="B96" s="35" t="s">
        <v>188</v>
      </c>
      <c r="C96" s="79">
        <v>3</v>
      </c>
      <c r="D96" s="9"/>
      <c r="E96" s="74">
        <v>4</v>
      </c>
      <c r="F96" s="9"/>
      <c r="G96" s="9"/>
      <c r="H96" s="9"/>
      <c r="I96" s="9"/>
      <c r="J96" s="1">
        <v>72</v>
      </c>
    </row>
    <row r="97" spans="1:10" x14ac:dyDescent="0.3">
      <c r="A97" s="9">
        <v>93</v>
      </c>
      <c r="B97" s="35" t="s">
        <v>189</v>
      </c>
      <c r="C97" s="79">
        <v>2</v>
      </c>
      <c r="D97" s="80">
        <v>2</v>
      </c>
      <c r="E97" s="74">
        <v>3</v>
      </c>
      <c r="F97" s="9"/>
      <c r="G97" s="9"/>
      <c r="H97" s="9"/>
      <c r="I97" s="9"/>
      <c r="J97" s="1">
        <v>72</v>
      </c>
    </row>
    <row r="98" spans="1:10" x14ac:dyDescent="0.3">
      <c r="A98" s="9">
        <v>94</v>
      </c>
      <c r="B98" s="35" t="s">
        <v>190</v>
      </c>
      <c r="C98" s="79">
        <v>1</v>
      </c>
      <c r="D98" s="80">
        <v>4</v>
      </c>
      <c r="E98" s="74">
        <v>2</v>
      </c>
      <c r="F98" s="9"/>
      <c r="G98" s="9"/>
      <c r="H98" s="9"/>
      <c r="I98" s="9"/>
      <c r="J98" s="1">
        <v>72</v>
      </c>
    </row>
    <row r="99" spans="1:10" x14ac:dyDescent="0.3">
      <c r="A99" s="9">
        <v>95</v>
      </c>
      <c r="B99" s="35" t="s">
        <v>191</v>
      </c>
      <c r="C99" s="9"/>
      <c r="D99" s="80">
        <v>6</v>
      </c>
      <c r="E99" s="74">
        <v>1</v>
      </c>
      <c r="F99" s="9"/>
      <c r="G99" s="9"/>
      <c r="H99" s="9"/>
      <c r="I99" s="9"/>
      <c r="J99" s="1">
        <v>72</v>
      </c>
    </row>
    <row r="100" spans="1:10" x14ac:dyDescent="0.3">
      <c r="A100" s="9">
        <v>96</v>
      </c>
      <c r="B100" s="35" t="s">
        <v>192</v>
      </c>
      <c r="C100" s="79">
        <v>7</v>
      </c>
      <c r="D100" s="9"/>
      <c r="E100" s="9"/>
      <c r="F100" s="9"/>
      <c r="G100" s="78">
        <v>1</v>
      </c>
      <c r="H100" s="9"/>
      <c r="I100" s="9"/>
      <c r="J100" s="1">
        <v>72</v>
      </c>
    </row>
    <row r="101" spans="1:10" x14ac:dyDescent="0.3">
      <c r="A101" s="9">
        <v>97</v>
      </c>
      <c r="B101" s="35" t="s">
        <v>193</v>
      </c>
      <c r="C101" s="79">
        <v>6</v>
      </c>
      <c r="D101" s="80">
        <v>1</v>
      </c>
      <c r="E101" s="9"/>
      <c r="F101" s="76">
        <v>1</v>
      </c>
      <c r="G101" s="9"/>
      <c r="H101" s="9"/>
      <c r="I101" s="9"/>
      <c r="J101" s="1">
        <v>72</v>
      </c>
    </row>
    <row r="102" spans="1:10" x14ac:dyDescent="0.3">
      <c r="A102" s="9">
        <v>98</v>
      </c>
      <c r="B102" s="35" t="s">
        <v>194</v>
      </c>
      <c r="C102" s="79">
        <v>6</v>
      </c>
      <c r="D102" s="9"/>
      <c r="E102" s="74">
        <v>2</v>
      </c>
      <c r="F102" s="9"/>
      <c r="G102" s="9"/>
      <c r="H102" s="9"/>
      <c r="I102" s="9"/>
      <c r="J102" s="1">
        <v>72</v>
      </c>
    </row>
    <row r="103" spans="1:10" x14ac:dyDescent="0.3">
      <c r="A103" s="9">
        <v>99</v>
      </c>
      <c r="B103" s="35" t="s">
        <v>195</v>
      </c>
      <c r="C103" s="79">
        <v>5</v>
      </c>
      <c r="D103" s="80">
        <v>2</v>
      </c>
      <c r="E103" s="74">
        <v>1</v>
      </c>
      <c r="F103" s="9"/>
      <c r="G103" s="9"/>
      <c r="H103" s="9"/>
      <c r="I103" s="9"/>
      <c r="J103" s="1">
        <v>72</v>
      </c>
    </row>
    <row r="104" spans="1:10" x14ac:dyDescent="0.3">
      <c r="A104" s="9">
        <v>100</v>
      </c>
      <c r="B104" s="35" t="s">
        <v>196</v>
      </c>
      <c r="C104" s="79">
        <v>4</v>
      </c>
      <c r="D104" s="80">
        <v>4</v>
      </c>
      <c r="E104" s="9"/>
      <c r="F104" s="9"/>
      <c r="G104" s="9"/>
      <c r="H104" s="9"/>
      <c r="I104" s="9"/>
      <c r="J104" s="1">
        <v>72</v>
      </c>
    </row>
    <row r="105" spans="1:10" x14ac:dyDescent="0.3">
      <c r="A105" s="9">
        <v>101</v>
      </c>
      <c r="B105" s="35" t="s">
        <v>197</v>
      </c>
      <c r="C105" s="79">
        <v>9</v>
      </c>
      <c r="D105" s="9"/>
      <c r="E105" s="9"/>
      <c r="F105" s="9"/>
      <c r="G105" s="9"/>
      <c r="H105" s="9"/>
      <c r="I105" s="9"/>
      <c r="J105" s="1">
        <v>72</v>
      </c>
    </row>
    <row r="107" spans="1:10" x14ac:dyDescent="0.3">
      <c r="B107" s="13" t="s">
        <v>198</v>
      </c>
      <c r="C107" s="54" t="s">
        <v>58</v>
      </c>
      <c r="D107" s="55" t="s">
        <v>59</v>
      </c>
      <c r="E107" s="56" t="s">
        <v>60</v>
      </c>
      <c r="F107" s="57" t="s">
        <v>61</v>
      </c>
      <c r="G107" s="58" t="s">
        <v>62</v>
      </c>
      <c r="H107" s="59" t="s">
        <v>63</v>
      </c>
      <c r="I107" s="60" t="s">
        <v>64</v>
      </c>
    </row>
  </sheetData>
  <mergeCells count="2">
    <mergeCell ref="A1:K1"/>
    <mergeCell ref="A2:K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91"/>
  <sheetViews>
    <sheetView showGridLines="0" zoomScaleNormal="100" workbookViewId="0"/>
  </sheetViews>
  <sheetFormatPr defaultColWidth="8.6640625" defaultRowHeight="14.4" x14ac:dyDescent="0.3"/>
  <cols>
    <col min="1" max="1" width="14" customWidth="1"/>
    <col min="2" max="8" width="12" customWidth="1"/>
  </cols>
  <sheetData>
    <row r="1" spans="1:8" ht="17.399999999999999" x14ac:dyDescent="0.3">
      <c r="A1" s="51" t="s">
        <v>199</v>
      </c>
      <c r="B1" s="51"/>
      <c r="C1" s="51"/>
      <c r="D1" s="51"/>
      <c r="E1" s="51"/>
      <c r="F1" s="51"/>
      <c r="G1" s="51"/>
      <c r="H1" s="51"/>
    </row>
    <row r="3" spans="1:8" x14ac:dyDescent="0.3">
      <c r="A3" s="52"/>
      <c r="B3" s="52"/>
      <c r="C3" s="52"/>
      <c r="D3" s="52"/>
      <c r="E3" s="52"/>
      <c r="F3" s="52"/>
      <c r="G3" s="52"/>
      <c r="H3" s="52"/>
    </row>
    <row r="4" spans="1:8" x14ac:dyDescent="0.3">
      <c r="A4" s="52" t="s">
        <v>200</v>
      </c>
      <c r="B4" s="52"/>
      <c r="C4" s="52"/>
      <c r="D4" s="52"/>
      <c r="E4" s="52"/>
      <c r="F4" s="52"/>
      <c r="G4" s="52"/>
      <c r="H4" s="52"/>
    </row>
    <row r="5" spans="1:8" x14ac:dyDescent="0.3">
      <c r="A5" s="52" t="s">
        <v>201</v>
      </c>
      <c r="B5" s="52"/>
      <c r="C5" s="52"/>
      <c r="D5" s="52"/>
      <c r="E5" s="52"/>
      <c r="F5" s="52"/>
      <c r="G5" s="52"/>
      <c r="H5" s="52"/>
    </row>
    <row r="6" spans="1:8" x14ac:dyDescent="0.3">
      <c r="A6" s="52" t="s">
        <v>202</v>
      </c>
      <c r="B6" s="52"/>
      <c r="C6" s="52"/>
      <c r="D6" s="52"/>
      <c r="E6" s="52"/>
      <c r="F6" s="52"/>
      <c r="G6" s="52"/>
      <c r="H6" s="52"/>
    </row>
    <row r="7" spans="1:8" x14ac:dyDescent="0.3">
      <c r="A7" s="52" t="s">
        <v>203</v>
      </c>
      <c r="B7" s="52"/>
      <c r="C7" s="52"/>
      <c r="D7" s="52"/>
      <c r="E7" s="52"/>
      <c r="F7" s="52"/>
      <c r="G7" s="52"/>
      <c r="H7" s="52"/>
    </row>
    <row r="8" spans="1:8" x14ac:dyDescent="0.3">
      <c r="A8" s="52" t="s">
        <v>204</v>
      </c>
      <c r="B8" s="52"/>
      <c r="C8" s="52"/>
      <c r="D8" s="52"/>
      <c r="E8" s="52"/>
      <c r="F8" s="52"/>
      <c r="G8" s="52"/>
      <c r="H8" s="52"/>
    </row>
    <row r="9" spans="1:8" x14ac:dyDescent="0.3">
      <c r="A9" s="52" t="s">
        <v>205</v>
      </c>
      <c r="B9" s="52"/>
      <c r="C9" s="52"/>
      <c r="D9" s="52"/>
      <c r="E9" s="52"/>
      <c r="F9" s="52"/>
      <c r="G9" s="52"/>
      <c r="H9" s="52"/>
    </row>
    <row r="10" spans="1:8" x14ac:dyDescent="0.3">
      <c r="A10" s="52"/>
      <c r="B10" s="52"/>
      <c r="C10" s="52"/>
      <c r="D10" s="52"/>
      <c r="E10" s="52"/>
      <c r="F10" s="52"/>
      <c r="G10" s="52"/>
      <c r="H10" s="52"/>
    </row>
    <row r="11" spans="1:8" x14ac:dyDescent="0.3">
      <c r="A11" s="52" t="s">
        <v>206</v>
      </c>
      <c r="B11" s="52"/>
      <c r="C11" s="52"/>
      <c r="D11" s="52"/>
      <c r="E11" s="52"/>
      <c r="F11" s="52"/>
      <c r="G11" s="52"/>
      <c r="H11" s="52"/>
    </row>
    <row r="12" spans="1:8" x14ac:dyDescent="0.3">
      <c r="A12" s="52"/>
      <c r="B12" s="52"/>
      <c r="C12" s="52"/>
      <c r="D12" s="52"/>
      <c r="E12" s="52"/>
      <c r="F12" s="52"/>
      <c r="G12" s="52"/>
      <c r="H12" s="52"/>
    </row>
    <row r="13" spans="1:8" x14ac:dyDescent="0.3">
      <c r="A13" s="46" t="s">
        <v>207</v>
      </c>
      <c r="B13" s="46"/>
      <c r="C13" s="46"/>
      <c r="D13" s="46"/>
      <c r="E13" s="46"/>
      <c r="F13" s="46"/>
      <c r="G13" s="46"/>
      <c r="H13" s="46"/>
    </row>
    <row r="15" spans="1:8" x14ac:dyDescent="0.3">
      <c r="A15" s="53" t="s">
        <v>208</v>
      </c>
      <c r="B15" s="53"/>
      <c r="C15" s="53"/>
      <c r="D15" s="53"/>
      <c r="E15" s="53"/>
      <c r="F15" s="53"/>
      <c r="G15" s="53"/>
      <c r="H15" s="53"/>
    </row>
    <row r="16" spans="1:8" x14ac:dyDescent="0.3">
      <c r="A16" s="53" t="s">
        <v>209</v>
      </c>
      <c r="B16" s="53"/>
      <c r="C16" s="53"/>
      <c r="D16" s="53"/>
      <c r="E16" s="53"/>
      <c r="F16" s="53"/>
      <c r="G16" s="53"/>
      <c r="H16" s="53"/>
    </row>
    <row r="17" spans="1:8" x14ac:dyDescent="0.3">
      <c r="A17" s="53" t="s">
        <v>210</v>
      </c>
      <c r="B17" s="53"/>
      <c r="C17" s="53"/>
      <c r="D17" s="53"/>
      <c r="E17" s="53"/>
      <c r="F17" s="53"/>
      <c r="G17" s="53"/>
      <c r="H17" s="53"/>
    </row>
    <row r="18" spans="1:8" x14ac:dyDescent="0.3">
      <c r="A18" s="53" t="s">
        <v>211</v>
      </c>
      <c r="B18" s="53"/>
      <c r="C18" s="53"/>
      <c r="D18" s="53"/>
      <c r="E18" s="53"/>
      <c r="F18" s="53"/>
      <c r="G18" s="53"/>
      <c r="H18" s="53"/>
    </row>
    <row r="19" spans="1:8" x14ac:dyDescent="0.3">
      <c r="A19" s="53" t="s">
        <v>212</v>
      </c>
      <c r="B19" s="53"/>
      <c r="C19" s="53"/>
      <c r="D19" s="53"/>
      <c r="E19" s="53"/>
      <c r="F19" s="53"/>
      <c r="G19" s="53"/>
      <c r="H19" s="53"/>
    </row>
    <row r="20" spans="1:8" x14ac:dyDescent="0.3">
      <c r="A20" s="53" t="s">
        <v>213</v>
      </c>
      <c r="B20" s="53"/>
      <c r="C20" s="53"/>
      <c r="D20" s="53"/>
      <c r="E20" s="53"/>
      <c r="F20" s="53"/>
      <c r="G20" s="53"/>
      <c r="H20" s="53"/>
    </row>
    <row r="21" spans="1:8" x14ac:dyDescent="0.3">
      <c r="A21" s="53" t="s">
        <v>214</v>
      </c>
      <c r="B21" s="53"/>
      <c r="C21" s="53"/>
      <c r="D21" s="53"/>
      <c r="E21" s="53"/>
      <c r="F21" s="53"/>
      <c r="G21" s="53"/>
      <c r="H21" s="53"/>
    </row>
    <row r="22" spans="1:8" x14ac:dyDescent="0.3">
      <c r="A22" s="53" t="s">
        <v>215</v>
      </c>
      <c r="B22" s="53"/>
      <c r="C22" s="53"/>
      <c r="D22" s="53"/>
      <c r="E22" s="53"/>
      <c r="F22" s="53"/>
      <c r="G22" s="53"/>
      <c r="H22" s="53"/>
    </row>
    <row r="23" spans="1:8" x14ac:dyDescent="0.3">
      <c r="A23" s="53" t="s">
        <v>216</v>
      </c>
      <c r="B23" s="53"/>
      <c r="C23" s="53"/>
      <c r="D23" s="53"/>
      <c r="E23" s="53"/>
      <c r="F23" s="53"/>
      <c r="G23" s="53"/>
      <c r="H23" s="53"/>
    </row>
    <row r="24" spans="1:8" x14ac:dyDescent="0.3">
      <c r="A24" s="53" t="s">
        <v>217</v>
      </c>
      <c r="B24" s="53"/>
      <c r="C24" s="53"/>
      <c r="D24" s="53"/>
      <c r="E24" s="53"/>
      <c r="F24" s="53"/>
      <c r="G24" s="53"/>
      <c r="H24" s="53"/>
    </row>
    <row r="25" spans="1:8" x14ac:dyDescent="0.3">
      <c r="A25" s="53" t="s">
        <v>218</v>
      </c>
      <c r="B25" s="53"/>
      <c r="C25" s="53"/>
      <c r="D25" s="53"/>
      <c r="E25" s="53"/>
      <c r="F25" s="53"/>
      <c r="G25" s="53"/>
      <c r="H25" s="53"/>
    </row>
    <row r="26" spans="1:8" x14ac:dyDescent="0.3">
      <c r="A26" s="53" t="s">
        <v>219</v>
      </c>
      <c r="B26" s="53"/>
      <c r="C26" s="53"/>
      <c r="D26" s="53"/>
      <c r="E26" s="53"/>
      <c r="F26" s="53"/>
      <c r="G26" s="53"/>
      <c r="H26" s="53"/>
    </row>
    <row r="27" spans="1:8" x14ac:dyDescent="0.3">
      <c r="A27" s="53" t="s">
        <v>220</v>
      </c>
      <c r="B27" s="53"/>
      <c r="C27" s="53"/>
      <c r="D27" s="53"/>
      <c r="E27" s="53"/>
      <c r="F27" s="53"/>
      <c r="G27" s="53"/>
      <c r="H27" s="53"/>
    </row>
    <row r="28" spans="1:8" x14ac:dyDescent="0.3">
      <c r="A28" s="53" t="s">
        <v>221</v>
      </c>
      <c r="B28" s="53"/>
      <c r="C28" s="53"/>
      <c r="D28" s="53"/>
      <c r="E28" s="53"/>
      <c r="F28" s="53"/>
      <c r="G28" s="53"/>
      <c r="H28" s="53"/>
    </row>
    <row r="29" spans="1:8" x14ac:dyDescent="0.3">
      <c r="A29" s="53" t="s">
        <v>222</v>
      </c>
      <c r="B29" s="53"/>
      <c r="C29" s="53"/>
      <c r="D29" s="53"/>
      <c r="E29" s="53"/>
      <c r="F29" s="53"/>
      <c r="G29" s="53"/>
      <c r="H29" s="53"/>
    </row>
    <row r="30" spans="1:8" x14ac:dyDescent="0.3">
      <c r="A30" s="53" t="s">
        <v>223</v>
      </c>
      <c r="B30" s="53"/>
      <c r="C30" s="53"/>
      <c r="D30" s="53"/>
      <c r="E30" s="53"/>
      <c r="F30" s="53"/>
      <c r="G30" s="53"/>
      <c r="H30" s="53"/>
    </row>
    <row r="31" spans="1:8" x14ac:dyDescent="0.3">
      <c r="A31" s="53" t="s">
        <v>224</v>
      </c>
      <c r="B31" s="53"/>
      <c r="C31" s="53"/>
      <c r="D31" s="53"/>
      <c r="E31" s="53"/>
      <c r="F31" s="53"/>
      <c r="G31" s="53"/>
      <c r="H31" s="53"/>
    </row>
    <row r="32" spans="1:8" x14ac:dyDescent="0.3">
      <c r="A32" s="53" t="s">
        <v>225</v>
      </c>
      <c r="B32" s="53"/>
      <c r="C32" s="53"/>
      <c r="D32" s="53"/>
      <c r="E32" s="53"/>
      <c r="F32" s="53"/>
      <c r="G32" s="53"/>
      <c r="H32" s="53"/>
    </row>
    <row r="33" spans="1:8" x14ac:dyDescent="0.3">
      <c r="A33" s="53" t="s">
        <v>226</v>
      </c>
      <c r="B33" s="53"/>
      <c r="C33" s="53"/>
      <c r="D33" s="53"/>
      <c r="E33" s="53"/>
      <c r="F33" s="53"/>
      <c r="G33" s="53"/>
      <c r="H33" s="53"/>
    </row>
    <row r="34" spans="1:8" x14ac:dyDescent="0.3">
      <c r="A34" s="53" t="s">
        <v>227</v>
      </c>
      <c r="B34" s="53"/>
      <c r="C34" s="53"/>
      <c r="D34" s="53"/>
      <c r="E34" s="53"/>
      <c r="F34" s="53"/>
      <c r="G34" s="53"/>
      <c r="H34" s="53"/>
    </row>
    <row r="35" spans="1:8" x14ac:dyDescent="0.3">
      <c r="A35" s="53" t="s">
        <v>216</v>
      </c>
      <c r="B35" s="53"/>
      <c r="C35" s="53"/>
      <c r="D35" s="53"/>
      <c r="E35" s="53"/>
      <c r="F35" s="53"/>
      <c r="G35" s="53"/>
      <c r="H35" s="53"/>
    </row>
    <row r="36" spans="1:8" x14ac:dyDescent="0.3">
      <c r="A36" s="53" t="s">
        <v>228</v>
      </c>
      <c r="B36" s="53"/>
      <c r="C36" s="53"/>
      <c r="D36" s="53"/>
      <c r="E36" s="53"/>
      <c r="F36" s="53"/>
      <c r="G36" s="53"/>
      <c r="H36" s="53"/>
    </row>
    <row r="37" spans="1:8" x14ac:dyDescent="0.3">
      <c r="A37" s="53" t="s">
        <v>229</v>
      </c>
      <c r="B37" s="53"/>
      <c r="C37" s="53"/>
      <c r="D37" s="53"/>
      <c r="E37" s="53"/>
      <c r="F37" s="53"/>
      <c r="G37" s="53"/>
      <c r="H37" s="53"/>
    </row>
    <row r="38" spans="1:8" x14ac:dyDescent="0.3">
      <c r="A38" s="53" t="s">
        <v>230</v>
      </c>
      <c r="B38" s="53"/>
      <c r="C38" s="53"/>
      <c r="D38" s="53"/>
      <c r="E38" s="53"/>
      <c r="F38" s="53"/>
      <c r="G38" s="53"/>
      <c r="H38" s="53"/>
    </row>
    <row r="39" spans="1:8" x14ac:dyDescent="0.3">
      <c r="A39" s="53" t="s">
        <v>231</v>
      </c>
      <c r="B39" s="53"/>
      <c r="C39" s="53"/>
      <c r="D39" s="53"/>
      <c r="E39" s="53"/>
      <c r="F39" s="53"/>
      <c r="G39" s="53"/>
      <c r="H39" s="53"/>
    </row>
    <row r="40" spans="1:8" x14ac:dyDescent="0.3">
      <c r="A40" s="53" t="s">
        <v>232</v>
      </c>
      <c r="B40" s="53"/>
      <c r="C40" s="53"/>
      <c r="D40" s="53"/>
      <c r="E40" s="53"/>
      <c r="F40" s="53"/>
      <c r="G40" s="53"/>
      <c r="H40" s="53"/>
    </row>
    <row r="41" spans="1:8" x14ac:dyDescent="0.3">
      <c r="A41" s="53" t="s">
        <v>233</v>
      </c>
      <c r="B41" s="53"/>
      <c r="C41" s="53"/>
      <c r="D41" s="53"/>
      <c r="E41" s="53"/>
      <c r="F41" s="53"/>
      <c r="G41" s="53"/>
      <c r="H41" s="53"/>
    </row>
    <row r="42" spans="1:8" x14ac:dyDescent="0.3">
      <c r="A42" s="53" t="s">
        <v>234</v>
      </c>
      <c r="B42" s="53"/>
      <c r="C42" s="53"/>
      <c r="D42" s="53"/>
      <c r="E42" s="53"/>
      <c r="F42" s="53"/>
      <c r="G42" s="53"/>
      <c r="H42" s="53"/>
    </row>
    <row r="43" spans="1:8" x14ac:dyDescent="0.3">
      <c r="A43" s="53" t="s">
        <v>235</v>
      </c>
      <c r="B43" s="53"/>
      <c r="C43" s="53"/>
      <c r="D43" s="53"/>
      <c r="E43" s="53"/>
      <c r="F43" s="53"/>
      <c r="G43" s="53"/>
      <c r="H43" s="53"/>
    </row>
    <row r="44" spans="1:8" x14ac:dyDescent="0.3">
      <c r="A44" s="53" t="s">
        <v>236</v>
      </c>
      <c r="B44" s="53"/>
      <c r="C44" s="53"/>
      <c r="D44" s="53"/>
      <c r="E44" s="53"/>
      <c r="F44" s="53"/>
      <c r="G44" s="53"/>
      <c r="H44" s="53"/>
    </row>
    <row r="45" spans="1:8" x14ac:dyDescent="0.3">
      <c r="A45" s="53" t="s">
        <v>237</v>
      </c>
      <c r="B45" s="53"/>
      <c r="C45" s="53"/>
      <c r="D45" s="53"/>
      <c r="E45" s="53"/>
      <c r="F45" s="53"/>
      <c r="G45" s="53"/>
      <c r="H45" s="53"/>
    </row>
    <row r="46" spans="1:8" x14ac:dyDescent="0.3">
      <c r="A46" s="53" t="s">
        <v>238</v>
      </c>
      <c r="B46" s="53"/>
      <c r="C46" s="53"/>
      <c r="D46" s="53"/>
      <c r="E46" s="53"/>
      <c r="F46" s="53"/>
      <c r="G46" s="53"/>
      <c r="H46" s="53"/>
    </row>
    <row r="47" spans="1:8" x14ac:dyDescent="0.3">
      <c r="A47" s="53" t="s">
        <v>239</v>
      </c>
      <c r="B47" s="53"/>
      <c r="C47" s="53"/>
      <c r="D47" s="53"/>
      <c r="E47" s="53"/>
      <c r="F47" s="53"/>
      <c r="G47" s="53"/>
      <c r="H47" s="53"/>
    </row>
    <row r="48" spans="1:8" x14ac:dyDescent="0.3">
      <c r="A48" s="53" t="s">
        <v>240</v>
      </c>
      <c r="B48" s="53"/>
      <c r="C48" s="53"/>
      <c r="D48" s="53"/>
      <c r="E48" s="53"/>
      <c r="F48" s="53"/>
      <c r="G48" s="53"/>
      <c r="H48" s="53"/>
    </row>
    <row r="49" spans="1:8" x14ac:dyDescent="0.3">
      <c r="A49" s="53" t="s">
        <v>241</v>
      </c>
      <c r="B49" s="53"/>
      <c r="C49" s="53"/>
      <c r="D49" s="53"/>
      <c r="E49" s="53"/>
      <c r="F49" s="53"/>
      <c r="G49" s="53"/>
      <c r="H49" s="53"/>
    </row>
    <row r="50" spans="1:8" x14ac:dyDescent="0.3">
      <c r="A50" s="53" t="s">
        <v>242</v>
      </c>
      <c r="B50" s="53"/>
      <c r="C50" s="53"/>
      <c r="D50" s="53"/>
      <c r="E50" s="53"/>
      <c r="F50" s="53"/>
      <c r="G50" s="53"/>
      <c r="H50" s="53"/>
    </row>
    <row r="51" spans="1:8" x14ac:dyDescent="0.3">
      <c r="A51" s="53" t="s">
        <v>243</v>
      </c>
      <c r="B51" s="53"/>
      <c r="C51" s="53"/>
      <c r="D51" s="53"/>
      <c r="E51" s="53"/>
      <c r="F51" s="53"/>
      <c r="G51" s="53"/>
      <c r="H51" s="53"/>
    </row>
    <row r="52" spans="1:8" x14ac:dyDescent="0.3">
      <c r="A52" s="53" t="s">
        <v>244</v>
      </c>
      <c r="B52" s="53"/>
      <c r="C52" s="53"/>
      <c r="D52" s="53"/>
      <c r="E52" s="53"/>
      <c r="F52" s="53"/>
      <c r="G52" s="53"/>
      <c r="H52" s="53"/>
    </row>
    <row r="53" spans="1:8" x14ac:dyDescent="0.3">
      <c r="A53" s="53" t="s">
        <v>245</v>
      </c>
      <c r="B53" s="53"/>
      <c r="C53" s="53"/>
      <c r="D53" s="53"/>
      <c r="E53" s="53"/>
      <c r="F53" s="53"/>
      <c r="G53" s="53"/>
      <c r="H53" s="53"/>
    </row>
    <row r="54" spans="1:8" x14ac:dyDescent="0.3">
      <c r="A54" s="53" t="s">
        <v>246</v>
      </c>
      <c r="B54" s="53"/>
      <c r="C54" s="53"/>
      <c r="D54" s="53"/>
      <c r="E54" s="53"/>
      <c r="F54" s="53"/>
      <c r="G54" s="53"/>
      <c r="H54" s="53"/>
    </row>
    <row r="55" spans="1:8" x14ac:dyDescent="0.3">
      <c r="A55" s="53" t="s">
        <v>247</v>
      </c>
      <c r="B55" s="53"/>
      <c r="C55" s="53"/>
      <c r="D55" s="53"/>
      <c r="E55" s="53"/>
      <c r="F55" s="53"/>
      <c r="G55" s="53"/>
      <c r="H55" s="53"/>
    </row>
    <row r="56" spans="1:8" x14ac:dyDescent="0.3">
      <c r="A56" s="53" t="s">
        <v>248</v>
      </c>
      <c r="B56" s="53"/>
      <c r="C56" s="53"/>
      <c r="D56" s="53"/>
      <c r="E56" s="53"/>
      <c r="F56" s="53"/>
      <c r="G56" s="53"/>
      <c r="H56" s="53"/>
    </row>
    <row r="57" spans="1:8" x14ac:dyDescent="0.3">
      <c r="A57" s="53" t="s">
        <v>216</v>
      </c>
      <c r="B57" s="53"/>
      <c r="C57" s="53"/>
      <c r="D57" s="53"/>
      <c r="E57" s="53"/>
      <c r="F57" s="53"/>
      <c r="G57" s="53"/>
      <c r="H57" s="53"/>
    </row>
    <row r="58" spans="1:8" x14ac:dyDescent="0.3">
      <c r="A58" s="53" t="s">
        <v>249</v>
      </c>
      <c r="B58" s="53"/>
      <c r="C58" s="53"/>
      <c r="D58" s="53"/>
      <c r="E58" s="53"/>
      <c r="F58" s="53"/>
      <c r="G58" s="53"/>
      <c r="H58" s="53"/>
    </row>
    <row r="59" spans="1:8" x14ac:dyDescent="0.3">
      <c r="A59" s="53" t="s">
        <v>250</v>
      </c>
      <c r="B59" s="53"/>
      <c r="C59" s="53"/>
      <c r="D59" s="53"/>
      <c r="E59" s="53"/>
      <c r="F59" s="53"/>
      <c r="G59" s="53"/>
      <c r="H59" s="53"/>
    </row>
    <row r="60" spans="1:8" x14ac:dyDescent="0.3">
      <c r="A60" s="53" t="s">
        <v>251</v>
      </c>
      <c r="B60" s="53"/>
      <c r="C60" s="53"/>
      <c r="D60" s="53"/>
      <c r="E60" s="53"/>
      <c r="F60" s="53"/>
      <c r="G60" s="53"/>
      <c r="H60" s="53"/>
    </row>
    <row r="61" spans="1:8" x14ac:dyDescent="0.3">
      <c r="A61" s="53" t="s">
        <v>252</v>
      </c>
      <c r="B61" s="53"/>
      <c r="C61" s="53"/>
      <c r="D61" s="53"/>
      <c r="E61" s="53"/>
      <c r="F61" s="53"/>
      <c r="G61" s="53"/>
      <c r="H61" s="53"/>
    </row>
    <row r="62" spans="1:8" x14ac:dyDescent="0.3">
      <c r="A62" s="53" t="s">
        <v>253</v>
      </c>
      <c r="B62" s="53"/>
      <c r="C62" s="53"/>
      <c r="D62" s="53"/>
      <c r="E62" s="53"/>
      <c r="F62" s="53"/>
      <c r="G62" s="53"/>
      <c r="H62" s="53"/>
    </row>
    <row r="63" spans="1:8" x14ac:dyDescent="0.3">
      <c r="A63" s="53" t="s">
        <v>254</v>
      </c>
      <c r="B63" s="53"/>
      <c r="C63" s="53"/>
      <c r="D63" s="53"/>
      <c r="E63" s="53"/>
      <c r="F63" s="53"/>
      <c r="G63" s="53"/>
      <c r="H63" s="53"/>
    </row>
    <row r="64" spans="1:8" x14ac:dyDescent="0.3">
      <c r="A64" s="53" t="s">
        <v>255</v>
      </c>
      <c r="B64" s="53"/>
      <c r="C64" s="53"/>
      <c r="D64" s="53"/>
      <c r="E64" s="53"/>
      <c r="F64" s="53"/>
      <c r="G64" s="53"/>
      <c r="H64" s="53"/>
    </row>
    <row r="65" spans="1:8" x14ac:dyDescent="0.3">
      <c r="A65" s="53" t="s">
        <v>256</v>
      </c>
      <c r="B65" s="53"/>
      <c r="C65" s="53"/>
      <c r="D65" s="53"/>
      <c r="E65" s="53"/>
      <c r="F65" s="53"/>
      <c r="G65" s="53"/>
      <c r="H65" s="53"/>
    </row>
    <row r="66" spans="1:8" x14ac:dyDescent="0.3">
      <c r="A66" s="53" t="s">
        <v>257</v>
      </c>
      <c r="B66" s="53"/>
      <c r="C66" s="53"/>
      <c r="D66" s="53"/>
      <c r="E66" s="53"/>
      <c r="F66" s="53"/>
      <c r="G66" s="53"/>
      <c r="H66" s="53"/>
    </row>
    <row r="67" spans="1:8" x14ac:dyDescent="0.3">
      <c r="A67" s="53" t="s">
        <v>216</v>
      </c>
      <c r="B67" s="53"/>
      <c r="C67" s="53"/>
      <c r="D67" s="53"/>
      <c r="E67" s="53"/>
      <c r="F67" s="53"/>
      <c r="G67" s="53"/>
      <c r="H67" s="53"/>
    </row>
    <row r="68" spans="1:8" x14ac:dyDescent="0.3">
      <c r="A68" s="53" t="s">
        <v>258</v>
      </c>
      <c r="B68" s="53"/>
      <c r="C68" s="53"/>
      <c r="D68" s="53"/>
      <c r="E68" s="53"/>
      <c r="F68" s="53"/>
      <c r="G68" s="53"/>
      <c r="H68" s="53"/>
    </row>
    <row r="69" spans="1:8" x14ac:dyDescent="0.3">
      <c r="A69" s="53" t="s">
        <v>259</v>
      </c>
      <c r="B69" s="53"/>
      <c r="C69" s="53"/>
      <c r="D69" s="53"/>
      <c r="E69" s="53"/>
      <c r="F69" s="53"/>
      <c r="G69" s="53"/>
      <c r="H69" s="53"/>
    </row>
    <row r="70" spans="1:8" x14ac:dyDescent="0.3">
      <c r="A70" s="53" t="s">
        <v>260</v>
      </c>
      <c r="B70" s="53"/>
      <c r="C70" s="53"/>
      <c r="D70" s="53"/>
      <c r="E70" s="53"/>
      <c r="F70" s="53"/>
      <c r="G70" s="53"/>
      <c r="H70" s="53"/>
    </row>
    <row r="71" spans="1:8" x14ac:dyDescent="0.3">
      <c r="A71" s="53" t="s">
        <v>261</v>
      </c>
      <c r="B71" s="53"/>
      <c r="C71" s="53"/>
      <c r="D71" s="53"/>
      <c r="E71" s="53"/>
      <c r="F71" s="53"/>
      <c r="G71" s="53"/>
      <c r="H71" s="53"/>
    </row>
    <row r="72" spans="1:8" x14ac:dyDescent="0.3">
      <c r="A72" s="53" t="s">
        <v>262</v>
      </c>
      <c r="B72" s="53"/>
      <c r="C72" s="53"/>
      <c r="D72" s="53"/>
      <c r="E72" s="53"/>
      <c r="F72" s="53"/>
      <c r="G72" s="53"/>
      <c r="H72" s="53"/>
    </row>
    <row r="73" spans="1:8" x14ac:dyDescent="0.3">
      <c r="A73" s="53" t="s">
        <v>263</v>
      </c>
      <c r="B73" s="53"/>
      <c r="C73" s="53"/>
      <c r="D73" s="53"/>
      <c r="E73" s="53"/>
      <c r="F73" s="53"/>
      <c r="G73" s="53"/>
      <c r="H73" s="53"/>
    </row>
    <row r="74" spans="1:8" x14ac:dyDescent="0.3">
      <c r="A74" s="53" t="s">
        <v>264</v>
      </c>
      <c r="B74" s="53"/>
      <c r="C74" s="53"/>
      <c r="D74" s="53"/>
      <c r="E74" s="53"/>
      <c r="F74" s="53"/>
      <c r="G74" s="53"/>
      <c r="H74" s="53"/>
    </row>
    <row r="75" spans="1:8" x14ac:dyDescent="0.3">
      <c r="A75" s="53" t="s">
        <v>265</v>
      </c>
      <c r="B75" s="53"/>
      <c r="C75" s="53"/>
      <c r="D75" s="53"/>
      <c r="E75" s="53"/>
      <c r="F75" s="53"/>
      <c r="G75" s="53"/>
      <c r="H75" s="53"/>
    </row>
    <row r="76" spans="1:8" x14ac:dyDescent="0.3">
      <c r="A76" s="53" t="s">
        <v>266</v>
      </c>
      <c r="B76" s="53"/>
      <c r="C76" s="53"/>
      <c r="D76" s="53"/>
      <c r="E76" s="53"/>
      <c r="F76" s="53"/>
      <c r="G76" s="53"/>
      <c r="H76" s="53"/>
    </row>
    <row r="77" spans="1:8" x14ac:dyDescent="0.3">
      <c r="A77" s="53" t="s">
        <v>262</v>
      </c>
      <c r="B77" s="53"/>
      <c r="C77" s="53"/>
      <c r="D77" s="53"/>
      <c r="E77" s="53"/>
      <c r="F77" s="53"/>
      <c r="G77" s="53"/>
      <c r="H77" s="53"/>
    </row>
    <row r="78" spans="1:8" x14ac:dyDescent="0.3">
      <c r="A78" s="53" t="s">
        <v>216</v>
      </c>
      <c r="B78" s="53"/>
      <c r="C78" s="53"/>
      <c r="D78" s="53"/>
      <c r="E78" s="53"/>
      <c r="F78" s="53"/>
      <c r="G78" s="53"/>
      <c r="H78" s="53"/>
    </row>
    <row r="79" spans="1:8" x14ac:dyDescent="0.3">
      <c r="A79" s="53" t="s">
        <v>267</v>
      </c>
      <c r="B79" s="53"/>
      <c r="C79" s="53"/>
      <c r="D79" s="53"/>
      <c r="E79" s="53"/>
      <c r="F79" s="53"/>
      <c r="G79" s="53"/>
      <c r="H79" s="53"/>
    </row>
    <row r="80" spans="1:8" x14ac:dyDescent="0.3">
      <c r="A80" s="53" t="s">
        <v>268</v>
      </c>
      <c r="B80" s="53"/>
      <c r="C80" s="53"/>
      <c r="D80" s="53"/>
      <c r="E80" s="53"/>
      <c r="F80" s="53"/>
      <c r="G80" s="53"/>
      <c r="H80" s="53"/>
    </row>
    <row r="81" spans="1:8" x14ac:dyDescent="0.3">
      <c r="A81" s="53" t="s">
        <v>269</v>
      </c>
      <c r="B81" s="53"/>
      <c r="C81" s="53"/>
      <c r="D81" s="53"/>
      <c r="E81" s="53"/>
      <c r="F81" s="53"/>
      <c r="G81" s="53"/>
      <c r="H81" s="53"/>
    </row>
    <row r="82" spans="1:8" x14ac:dyDescent="0.3">
      <c r="A82" s="53" t="s">
        <v>270</v>
      </c>
      <c r="B82" s="53"/>
      <c r="C82" s="53"/>
      <c r="D82" s="53"/>
      <c r="E82" s="53"/>
      <c r="F82" s="53"/>
      <c r="G82" s="53"/>
      <c r="H82" s="53"/>
    </row>
    <row r="83" spans="1:8" x14ac:dyDescent="0.3">
      <c r="A83" s="53" t="s">
        <v>271</v>
      </c>
      <c r="B83" s="53"/>
      <c r="C83" s="53"/>
      <c r="D83" s="53"/>
      <c r="E83" s="53"/>
      <c r="F83" s="53"/>
      <c r="G83" s="53"/>
      <c r="H83" s="53"/>
    </row>
    <row r="84" spans="1:8" x14ac:dyDescent="0.3">
      <c r="A84" s="53" t="s">
        <v>272</v>
      </c>
      <c r="B84" s="53"/>
      <c r="C84" s="53"/>
      <c r="D84" s="53"/>
      <c r="E84" s="53"/>
      <c r="F84" s="53"/>
      <c r="G84" s="53"/>
      <c r="H84" s="53"/>
    </row>
    <row r="85" spans="1:8" x14ac:dyDescent="0.3">
      <c r="A85" s="53" t="s">
        <v>273</v>
      </c>
      <c r="B85" s="53"/>
      <c r="C85" s="53"/>
      <c r="D85" s="53"/>
      <c r="E85" s="53"/>
      <c r="F85" s="53"/>
      <c r="G85" s="53"/>
      <c r="H85" s="53"/>
    </row>
    <row r="86" spans="1:8" x14ac:dyDescent="0.3">
      <c r="A86" s="53" t="s">
        <v>274</v>
      </c>
      <c r="B86" s="53"/>
      <c r="C86" s="53"/>
      <c r="D86" s="53"/>
      <c r="E86" s="53"/>
      <c r="F86" s="53"/>
      <c r="G86" s="53"/>
      <c r="H86" s="53"/>
    </row>
    <row r="87" spans="1:8" x14ac:dyDescent="0.3">
      <c r="A87" s="53" t="s">
        <v>275</v>
      </c>
      <c r="B87" s="53"/>
      <c r="C87" s="53"/>
      <c r="D87" s="53"/>
      <c r="E87" s="53"/>
      <c r="F87" s="53"/>
      <c r="G87" s="53"/>
      <c r="H87" s="53"/>
    </row>
    <row r="88" spans="1:8" x14ac:dyDescent="0.3">
      <c r="A88" s="53" t="s">
        <v>216</v>
      </c>
      <c r="B88" s="53"/>
      <c r="C88" s="53"/>
      <c r="D88" s="53"/>
      <c r="E88" s="53"/>
      <c r="F88" s="53"/>
      <c r="G88" s="53"/>
      <c r="H88" s="53"/>
    </row>
    <row r="89" spans="1:8" x14ac:dyDescent="0.3">
      <c r="A89" s="53" t="s">
        <v>276</v>
      </c>
      <c r="B89" s="53"/>
      <c r="C89" s="53"/>
      <c r="D89" s="53"/>
      <c r="E89" s="53"/>
      <c r="F89" s="53"/>
      <c r="G89" s="53"/>
      <c r="H89" s="53"/>
    </row>
    <row r="90" spans="1:8" x14ac:dyDescent="0.3">
      <c r="A90" s="53" t="s">
        <v>277</v>
      </c>
      <c r="B90" s="53"/>
      <c r="C90" s="53"/>
      <c r="D90" s="53"/>
      <c r="E90" s="53"/>
      <c r="F90" s="53"/>
      <c r="G90" s="53"/>
      <c r="H90" s="53"/>
    </row>
    <row r="91" spans="1:8" x14ac:dyDescent="0.3">
      <c r="A91" s="53" t="s">
        <v>278</v>
      </c>
      <c r="B91" s="53"/>
      <c r="C91" s="53"/>
      <c r="D91" s="53"/>
      <c r="E91" s="53"/>
      <c r="F91" s="53"/>
      <c r="G91" s="53"/>
      <c r="H91" s="53"/>
    </row>
    <row r="92" spans="1:8" x14ac:dyDescent="0.3">
      <c r="A92" s="53" t="s">
        <v>247</v>
      </c>
      <c r="B92" s="53"/>
      <c r="C92" s="53"/>
      <c r="D92" s="53"/>
      <c r="E92" s="53"/>
      <c r="F92" s="53"/>
      <c r="G92" s="53"/>
      <c r="H92" s="53"/>
    </row>
    <row r="93" spans="1:8" x14ac:dyDescent="0.3">
      <c r="A93" s="53" t="s">
        <v>279</v>
      </c>
      <c r="B93" s="53"/>
      <c r="C93" s="53"/>
      <c r="D93" s="53"/>
      <c r="E93" s="53"/>
      <c r="F93" s="53"/>
      <c r="G93" s="53"/>
      <c r="H93" s="53"/>
    </row>
    <row r="94" spans="1:8" x14ac:dyDescent="0.3">
      <c r="A94" s="53" t="s">
        <v>216</v>
      </c>
      <c r="B94" s="53"/>
      <c r="C94" s="53"/>
      <c r="D94" s="53"/>
      <c r="E94" s="53"/>
      <c r="F94" s="53"/>
      <c r="G94" s="53"/>
      <c r="H94" s="53"/>
    </row>
    <row r="95" spans="1:8" x14ac:dyDescent="0.3">
      <c r="A95" s="53" t="s">
        <v>280</v>
      </c>
      <c r="B95" s="53"/>
      <c r="C95" s="53"/>
      <c r="D95" s="53"/>
      <c r="E95" s="53"/>
      <c r="F95" s="53"/>
      <c r="G95" s="53"/>
      <c r="H95" s="53"/>
    </row>
    <row r="96" spans="1:8" x14ac:dyDescent="0.3">
      <c r="A96" s="53" t="s">
        <v>281</v>
      </c>
      <c r="B96" s="53"/>
      <c r="C96" s="53"/>
      <c r="D96" s="53"/>
      <c r="E96" s="53"/>
      <c r="F96" s="53"/>
      <c r="G96" s="53"/>
      <c r="H96" s="53"/>
    </row>
    <row r="97" spans="1:8" x14ac:dyDescent="0.3">
      <c r="A97" s="53" t="s">
        <v>282</v>
      </c>
      <c r="B97" s="53"/>
      <c r="C97" s="53"/>
      <c r="D97" s="53"/>
      <c r="E97" s="53"/>
      <c r="F97" s="53"/>
      <c r="G97" s="53"/>
      <c r="H97" s="53"/>
    </row>
    <row r="98" spans="1:8" x14ac:dyDescent="0.3">
      <c r="A98" s="53" t="s">
        <v>283</v>
      </c>
      <c r="B98" s="53"/>
      <c r="C98" s="53"/>
      <c r="D98" s="53"/>
      <c r="E98" s="53"/>
      <c r="F98" s="53"/>
      <c r="G98" s="53"/>
      <c r="H98" s="53"/>
    </row>
    <row r="99" spans="1:8" x14ac:dyDescent="0.3">
      <c r="A99" s="53" t="s">
        <v>284</v>
      </c>
      <c r="B99" s="53"/>
      <c r="C99" s="53"/>
      <c r="D99" s="53"/>
      <c r="E99" s="53"/>
      <c r="F99" s="53"/>
      <c r="G99" s="53"/>
      <c r="H99" s="53"/>
    </row>
    <row r="100" spans="1:8" x14ac:dyDescent="0.3">
      <c r="A100" s="53" t="s">
        <v>285</v>
      </c>
      <c r="B100" s="53"/>
      <c r="C100" s="53"/>
      <c r="D100" s="53"/>
      <c r="E100" s="53"/>
      <c r="F100" s="53"/>
      <c r="G100" s="53"/>
      <c r="H100" s="53"/>
    </row>
    <row r="101" spans="1:8" x14ac:dyDescent="0.3">
      <c r="A101" s="53" t="s">
        <v>286</v>
      </c>
      <c r="B101" s="53"/>
      <c r="C101" s="53"/>
      <c r="D101" s="53"/>
      <c r="E101" s="53"/>
      <c r="F101" s="53"/>
      <c r="G101" s="53"/>
      <c r="H101" s="53"/>
    </row>
    <row r="102" spans="1:8" x14ac:dyDescent="0.3">
      <c r="A102" s="53" t="s">
        <v>287</v>
      </c>
      <c r="B102" s="53"/>
      <c r="C102" s="53"/>
      <c r="D102" s="53"/>
      <c r="E102" s="53"/>
      <c r="F102" s="53"/>
      <c r="G102" s="53"/>
      <c r="H102" s="53"/>
    </row>
    <row r="103" spans="1:8" x14ac:dyDescent="0.3">
      <c r="A103" s="53" t="s">
        <v>288</v>
      </c>
      <c r="B103" s="53"/>
      <c r="C103" s="53"/>
      <c r="D103" s="53"/>
      <c r="E103" s="53"/>
      <c r="F103" s="53"/>
      <c r="G103" s="53"/>
      <c r="H103" s="53"/>
    </row>
    <row r="104" spans="1:8" x14ac:dyDescent="0.3">
      <c r="A104" s="53" t="s">
        <v>289</v>
      </c>
      <c r="B104" s="53"/>
      <c r="C104" s="53"/>
      <c r="D104" s="53"/>
      <c r="E104" s="53"/>
      <c r="F104" s="53"/>
      <c r="G104" s="53"/>
      <c r="H104" s="53"/>
    </row>
    <row r="105" spans="1:8" x14ac:dyDescent="0.3">
      <c r="A105" s="53" t="s">
        <v>216</v>
      </c>
      <c r="B105" s="53"/>
      <c r="C105" s="53"/>
      <c r="D105" s="53"/>
      <c r="E105" s="53"/>
      <c r="F105" s="53"/>
      <c r="G105" s="53"/>
      <c r="H105" s="53"/>
    </row>
    <row r="106" spans="1:8" x14ac:dyDescent="0.3">
      <c r="A106" s="53" t="s">
        <v>290</v>
      </c>
      <c r="B106" s="53"/>
      <c r="C106" s="53"/>
      <c r="D106" s="53"/>
      <c r="E106" s="53"/>
      <c r="F106" s="53"/>
      <c r="G106" s="53"/>
      <c r="H106" s="53"/>
    </row>
    <row r="107" spans="1:8" x14ac:dyDescent="0.3">
      <c r="A107" s="53" t="s">
        <v>291</v>
      </c>
      <c r="B107" s="53"/>
      <c r="C107" s="53"/>
      <c r="D107" s="53"/>
      <c r="E107" s="53"/>
      <c r="F107" s="53"/>
      <c r="G107" s="53"/>
      <c r="H107" s="53"/>
    </row>
    <row r="108" spans="1:8" x14ac:dyDescent="0.3">
      <c r="A108" s="53" t="s">
        <v>260</v>
      </c>
      <c r="B108" s="53"/>
      <c r="C108" s="53"/>
      <c r="D108" s="53"/>
      <c r="E108" s="53"/>
      <c r="F108" s="53"/>
      <c r="G108" s="53"/>
      <c r="H108" s="53"/>
    </row>
    <row r="109" spans="1:8" x14ac:dyDescent="0.3">
      <c r="A109" s="53" t="s">
        <v>292</v>
      </c>
      <c r="B109" s="53"/>
      <c r="C109" s="53"/>
      <c r="D109" s="53"/>
      <c r="E109" s="53"/>
      <c r="F109" s="53"/>
      <c r="G109" s="53"/>
      <c r="H109" s="53"/>
    </row>
    <row r="110" spans="1:8" x14ac:dyDescent="0.3">
      <c r="A110" s="53" t="s">
        <v>262</v>
      </c>
      <c r="B110" s="53"/>
      <c r="C110" s="53"/>
      <c r="D110" s="53"/>
      <c r="E110" s="53"/>
      <c r="F110" s="53"/>
      <c r="G110" s="53"/>
      <c r="H110" s="53"/>
    </row>
    <row r="111" spans="1:8" x14ac:dyDescent="0.3">
      <c r="A111" s="53" t="s">
        <v>293</v>
      </c>
      <c r="B111" s="53"/>
      <c r="C111" s="53"/>
      <c r="D111" s="53"/>
      <c r="E111" s="53"/>
      <c r="F111" s="53"/>
      <c r="G111" s="53"/>
      <c r="H111" s="53"/>
    </row>
    <row r="112" spans="1:8" x14ac:dyDescent="0.3">
      <c r="A112" s="53" t="s">
        <v>294</v>
      </c>
      <c r="B112" s="53"/>
      <c r="C112" s="53"/>
      <c r="D112" s="53"/>
      <c r="E112" s="53"/>
      <c r="F112" s="53"/>
      <c r="G112" s="53"/>
      <c r="H112" s="53"/>
    </row>
    <row r="113" spans="1:8" x14ac:dyDescent="0.3">
      <c r="A113" s="53" t="s">
        <v>295</v>
      </c>
      <c r="B113" s="53"/>
      <c r="C113" s="53"/>
      <c r="D113" s="53"/>
      <c r="E113" s="53"/>
      <c r="F113" s="53"/>
      <c r="G113" s="53"/>
      <c r="H113" s="53"/>
    </row>
    <row r="114" spans="1:8" x14ac:dyDescent="0.3">
      <c r="A114" s="53" t="s">
        <v>296</v>
      </c>
      <c r="B114" s="53"/>
      <c r="C114" s="53"/>
      <c r="D114" s="53"/>
      <c r="E114" s="53"/>
      <c r="F114" s="53"/>
      <c r="G114" s="53"/>
      <c r="H114" s="53"/>
    </row>
    <row r="115" spans="1:8" x14ac:dyDescent="0.3">
      <c r="A115" s="53" t="s">
        <v>260</v>
      </c>
      <c r="B115" s="53"/>
      <c r="C115" s="53"/>
      <c r="D115" s="53"/>
      <c r="E115" s="53"/>
      <c r="F115" s="53"/>
      <c r="G115" s="53"/>
      <c r="H115" s="53"/>
    </row>
    <row r="116" spans="1:8" x14ac:dyDescent="0.3">
      <c r="A116" s="53" t="s">
        <v>297</v>
      </c>
      <c r="B116" s="53"/>
      <c r="C116" s="53"/>
      <c r="D116" s="53"/>
      <c r="E116" s="53"/>
      <c r="F116" s="53"/>
      <c r="G116" s="53"/>
      <c r="H116" s="53"/>
    </row>
    <row r="117" spans="1:8" x14ac:dyDescent="0.3">
      <c r="A117" s="53" t="s">
        <v>298</v>
      </c>
      <c r="B117" s="53"/>
      <c r="C117" s="53"/>
      <c r="D117" s="53"/>
      <c r="E117" s="53"/>
      <c r="F117" s="53"/>
      <c r="G117" s="53"/>
      <c r="H117" s="53"/>
    </row>
    <row r="118" spans="1:8" x14ac:dyDescent="0.3">
      <c r="A118" s="53" t="s">
        <v>299</v>
      </c>
      <c r="B118" s="53"/>
      <c r="C118" s="53"/>
      <c r="D118" s="53"/>
      <c r="E118" s="53"/>
      <c r="F118" s="53"/>
      <c r="G118" s="53"/>
      <c r="H118" s="53"/>
    </row>
    <row r="119" spans="1:8" x14ac:dyDescent="0.3">
      <c r="A119" s="53" t="s">
        <v>300</v>
      </c>
      <c r="B119" s="53"/>
      <c r="C119" s="53"/>
      <c r="D119" s="53"/>
      <c r="E119" s="53"/>
      <c r="F119" s="53"/>
      <c r="G119" s="53"/>
      <c r="H119" s="53"/>
    </row>
    <row r="120" spans="1:8" x14ac:dyDescent="0.3">
      <c r="A120" s="53" t="s">
        <v>301</v>
      </c>
      <c r="B120" s="53"/>
      <c r="C120" s="53"/>
      <c r="D120" s="53"/>
      <c r="E120" s="53"/>
      <c r="F120" s="53"/>
      <c r="G120" s="53"/>
      <c r="H120" s="53"/>
    </row>
    <row r="121" spans="1:8" x14ac:dyDescent="0.3">
      <c r="A121" s="53" t="s">
        <v>302</v>
      </c>
      <c r="B121" s="53"/>
      <c r="C121" s="53"/>
      <c r="D121" s="53"/>
      <c r="E121" s="53"/>
      <c r="F121" s="53"/>
      <c r="G121" s="53"/>
      <c r="H121" s="53"/>
    </row>
    <row r="122" spans="1:8" x14ac:dyDescent="0.3">
      <c r="A122" s="53" t="s">
        <v>303</v>
      </c>
      <c r="B122" s="53"/>
      <c r="C122" s="53"/>
      <c r="D122" s="53"/>
      <c r="E122" s="53"/>
      <c r="F122" s="53"/>
      <c r="G122" s="53"/>
      <c r="H122" s="53"/>
    </row>
    <row r="123" spans="1:8" x14ac:dyDescent="0.3">
      <c r="A123" s="53" t="s">
        <v>304</v>
      </c>
      <c r="B123" s="53"/>
      <c r="C123" s="53"/>
      <c r="D123" s="53"/>
      <c r="E123" s="53"/>
      <c r="F123" s="53"/>
      <c r="G123" s="53"/>
      <c r="H123" s="53"/>
    </row>
    <row r="124" spans="1:8" x14ac:dyDescent="0.3">
      <c r="A124" s="53" t="s">
        <v>305</v>
      </c>
      <c r="B124" s="53"/>
      <c r="C124" s="53"/>
      <c r="D124" s="53"/>
      <c r="E124" s="53"/>
      <c r="F124" s="53"/>
      <c r="G124" s="53"/>
      <c r="H124" s="53"/>
    </row>
    <row r="125" spans="1:8" x14ac:dyDescent="0.3">
      <c r="A125" s="53" t="s">
        <v>306</v>
      </c>
      <c r="B125" s="53"/>
      <c r="C125" s="53"/>
      <c r="D125" s="53"/>
      <c r="E125" s="53"/>
      <c r="F125" s="53"/>
      <c r="G125" s="53"/>
      <c r="H125" s="53"/>
    </row>
    <row r="126" spans="1:8" x14ac:dyDescent="0.3">
      <c r="A126" s="53" t="s">
        <v>307</v>
      </c>
      <c r="B126" s="53"/>
      <c r="C126" s="53"/>
      <c r="D126" s="53"/>
      <c r="E126" s="53"/>
      <c r="F126" s="53"/>
      <c r="G126" s="53"/>
      <c r="H126" s="53"/>
    </row>
    <row r="127" spans="1:8" x14ac:dyDescent="0.3">
      <c r="A127" s="53" t="s">
        <v>308</v>
      </c>
      <c r="B127" s="53"/>
      <c r="C127" s="53"/>
      <c r="D127" s="53"/>
      <c r="E127" s="53"/>
      <c r="F127" s="53"/>
      <c r="G127" s="53"/>
      <c r="H127" s="53"/>
    </row>
    <row r="128" spans="1:8" x14ac:dyDescent="0.3">
      <c r="A128" s="53" t="s">
        <v>262</v>
      </c>
      <c r="B128" s="53"/>
      <c r="C128" s="53"/>
      <c r="D128" s="53"/>
      <c r="E128" s="53"/>
      <c r="F128" s="53"/>
      <c r="G128" s="53"/>
      <c r="H128" s="53"/>
    </row>
    <row r="129" spans="1:8" x14ac:dyDescent="0.3">
      <c r="A129" s="53" t="s">
        <v>216</v>
      </c>
      <c r="B129" s="53"/>
      <c r="C129" s="53"/>
      <c r="D129" s="53"/>
      <c r="E129" s="53"/>
      <c r="F129" s="53"/>
      <c r="G129" s="53"/>
      <c r="H129" s="53"/>
    </row>
    <row r="130" spans="1:8" x14ac:dyDescent="0.3">
      <c r="A130" s="53" t="s">
        <v>309</v>
      </c>
      <c r="B130" s="53"/>
      <c r="C130" s="53"/>
      <c r="D130" s="53"/>
      <c r="E130" s="53"/>
      <c r="F130" s="53"/>
      <c r="G130" s="53"/>
      <c r="H130" s="53"/>
    </row>
    <row r="131" spans="1:8" x14ac:dyDescent="0.3">
      <c r="A131" s="53" t="s">
        <v>310</v>
      </c>
      <c r="B131" s="53"/>
      <c r="C131" s="53"/>
      <c r="D131" s="53"/>
      <c r="E131" s="53"/>
      <c r="F131" s="53"/>
      <c r="G131" s="53"/>
      <c r="H131" s="53"/>
    </row>
    <row r="132" spans="1:8" x14ac:dyDescent="0.3">
      <c r="A132" s="53" t="s">
        <v>311</v>
      </c>
      <c r="B132" s="53"/>
      <c r="C132" s="53"/>
      <c r="D132" s="53"/>
      <c r="E132" s="53"/>
      <c r="F132" s="53"/>
      <c r="G132" s="53"/>
      <c r="H132" s="53"/>
    </row>
    <row r="133" spans="1:8" x14ac:dyDescent="0.3">
      <c r="A133" s="53" t="s">
        <v>312</v>
      </c>
      <c r="B133" s="53"/>
      <c r="C133" s="53"/>
      <c r="D133" s="53"/>
      <c r="E133" s="53"/>
      <c r="F133" s="53"/>
      <c r="G133" s="53"/>
      <c r="H133" s="53"/>
    </row>
    <row r="134" spans="1:8" x14ac:dyDescent="0.3">
      <c r="A134" s="53" t="s">
        <v>313</v>
      </c>
      <c r="B134" s="53"/>
      <c r="C134" s="53"/>
      <c r="D134" s="53"/>
      <c r="E134" s="53"/>
      <c r="F134" s="53"/>
      <c r="G134" s="53"/>
      <c r="H134" s="53"/>
    </row>
    <row r="135" spans="1:8" x14ac:dyDescent="0.3">
      <c r="A135" s="53" t="s">
        <v>314</v>
      </c>
      <c r="B135" s="53"/>
      <c r="C135" s="53"/>
      <c r="D135" s="53"/>
      <c r="E135" s="53"/>
      <c r="F135" s="53"/>
      <c r="G135" s="53"/>
      <c r="H135" s="53"/>
    </row>
    <row r="136" spans="1:8" x14ac:dyDescent="0.3">
      <c r="A136" s="53" t="s">
        <v>315</v>
      </c>
      <c r="B136" s="53"/>
      <c r="C136" s="53"/>
      <c r="D136" s="53"/>
      <c r="E136" s="53"/>
      <c r="F136" s="53"/>
      <c r="G136" s="53"/>
      <c r="H136" s="53"/>
    </row>
    <row r="137" spans="1:8" x14ac:dyDescent="0.3">
      <c r="A137" s="53" t="s">
        <v>316</v>
      </c>
      <c r="B137" s="53"/>
      <c r="C137" s="53"/>
      <c r="D137" s="53"/>
      <c r="E137" s="53"/>
      <c r="F137" s="53"/>
      <c r="G137" s="53"/>
      <c r="H137" s="53"/>
    </row>
    <row r="138" spans="1:8" x14ac:dyDescent="0.3">
      <c r="A138" s="53" t="s">
        <v>317</v>
      </c>
      <c r="B138" s="53"/>
      <c r="C138" s="53"/>
      <c r="D138" s="53"/>
      <c r="E138" s="53"/>
      <c r="F138" s="53"/>
      <c r="G138" s="53"/>
      <c r="H138" s="53"/>
    </row>
    <row r="139" spans="1:8" x14ac:dyDescent="0.3">
      <c r="A139" s="53" t="s">
        <v>318</v>
      </c>
      <c r="B139" s="53"/>
      <c r="C139" s="53"/>
      <c r="D139" s="53"/>
      <c r="E139" s="53"/>
      <c r="F139" s="53"/>
      <c r="G139" s="53"/>
      <c r="H139" s="53"/>
    </row>
    <row r="140" spans="1:8" x14ac:dyDescent="0.3">
      <c r="A140" s="53" t="s">
        <v>319</v>
      </c>
      <c r="B140" s="53"/>
      <c r="C140" s="53"/>
      <c r="D140" s="53"/>
      <c r="E140" s="53"/>
      <c r="F140" s="53"/>
      <c r="G140" s="53"/>
      <c r="H140" s="53"/>
    </row>
    <row r="141" spans="1:8" x14ac:dyDescent="0.3">
      <c r="A141" s="53" t="s">
        <v>320</v>
      </c>
      <c r="B141" s="53"/>
      <c r="C141" s="53"/>
      <c r="D141" s="53"/>
      <c r="E141" s="53"/>
      <c r="F141" s="53"/>
      <c r="G141" s="53"/>
      <c r="H141" s="53"/>
    </row>
    <row r="142" spans="1:8" x14ac:dyDescent="0.3">
      <c r="A142" s="53" t="s">
        <v>321</v>
      </c>
      <c r="B142" s="53"/>
      <c r="C142" s="53"/>
      <c r="D142" s="53"/>
      <c r="E142" s="53"/>
      <c r="F142" s="53"/>
      <c r="G142" s="53"/>
      <c r="H142" s="53"/>
    </row>
    <row r="143" spans="1:8" x14ac:dyDescent="0.3">
      <c r="A143" s="53" t="s">
        <v>322</v>
      </c>
      <c r="B143" s="53"/>
      <c r="C143" s="53"/>
      <c r="D143" s="53"/>
      <c r="E143" s="53"/>
      <c r="F143" s="53"/>
      <c r="G143" s="53"/>
      <c r="H143" s="53"/>
    </row>
    <row r="144" spans="1:8" x14ac:dyDescent="0.3">
      <c r="A144" s="53" t="s">
        <v>304</v>
      </c>
      <c r="B144" s="53"/>
      <c r="C144" s="53"/>
      <c r="D144" s="53"/>
      <c r="E144" s="53"/>
      <c r="F144" s="53"/>
      <c r="G144" s="53"/>
      <c r="H144" s="53"/>
    </row>
    <row r="145" spans="1:8" x14ac:dyDescent="0.3">
      <c r="A145" s="53" t="s">
        <v>323</v>
      </c>
      <c r="B145" s="53"/>
      <c r="C145" s="53"/>
      <c r="D145" s="53"/>
      <c r="E145" s="53"/>
      <c r="F145" s="53"/>
      <c r="G145" s="53"/>
      <c r="H145" s="53"/>
    </row>
    <row r="146" spans="1:8" x14ac:dyDescent="0.3">
      <c r="A146" s="53" t="s">
        <v>245</v>
      </c>
      <c r="B146" s="53"/>
      <c r="C146" s="53"/>
      <c r="D146" s="53"/>
      <c r="E146" s="53"/>
      <c r="F146" s="53"/>
      <c r="G146" s="53"/>
      <c r="H146" s="53"/>
    </row>
    <row r="147" spans="1:8" x14ac:dyDescent="0.3">
      <c r="A147" s="53" t="s">
        <v>324</v>
      </c>
      <c r="B147" s="53"/>
      <c r="C147" s="53"/>
      <c r="D147" s="53"/>
      <c r="E147" s="53"/>
      <c r="F147" s="53"/>
      <c r="G147" s="53"/>
      <c r="H147" s="53"/>
    </row>
    <row r="148" spans="1:8" x14ac:dyDescent="0.3">
      <c r="A148" s="53" t="s">
        <v>247</v>
      </c>
      <c r="B148" s="53"/>
      <c r="C148" s="53"/>
      <c r="D148" s="53"/>
      <c r="E148" s="53"/>
      <c r="F148" s="53"/>
      <c r="G148" s="53"/>
      <c r="H148" s="53"/>
    </row>
    <row r="149" spans="1:8" x14ac:dyDescent="0.3">
      <c r="A149" s="53" t="s">
        <v>325</v>
      </c>
      <c r="B149" s="53"/>
      <c r="C149" s="53"/>
      <c r="D149" s="53"/>
      <c r="E149" s="53"/>
      <c r="F149" s="53"/>
      <c r="G149" s="53"/>
      <c r="H149" s="53"/>
    </row>
    <row r="150" spans="1:8" x14ac:dyDescent="0.3">
      <c r="A150" s="53" t="s">
        <v>326</v>
      </c>
      <c r="B150" s="53"/>
      <c r="C150" s="53"/>
      <c r="D150" s="53"/>
      <c r="E150" s="53"/>
      <c r="F150" s="53"/>
      <c r="G150" s="53"/>
      <c r="H150" s="53"/>
    </row>
    <row r="151" spans="1:8" x14ac:dyDescent="0.3">
      <c r="A151" s="53" t="s">
        <v>216</v>
      </c>
      <c r="B151" s="53"/>
      <c r="C151" s="53"/>
      <c r="D151" s="53"/>
      <c r="E151" s="53"/>
      <c r="F151" s="53"/>
      <c r="G151" s="53"/>
      <c r="H151" s="53"/>
    </row>
    <row r="152" spans="1:8" x14ac:dyDescent="0.3">
      <c r="A152" s="53" t="s">
        <v>327</v>
      </c>
      <c r="B152" s="53"/>
      <c r="C152" s="53"/>
      <c r="D152" s="53"/>
      <c r="E152" s="53"/>
      <c r="F152" s="53"/>
      <c r="G152" s="53"/>
      <c r="H152" s="53"/>
    </row>
    <row r="153" spans="1:8" x14ac:dyDescent="0.3">
      <c r="A153" s="53" t="s">
        <v>328</v>
      </c>
      <c r="B153" s="53"/>
      <c r="C153" s="53"/>
      <c r="D153" s="53"/>
      <c r="E153" s="53"/>
      <c r="F153" s="53"/>
      <c r="G153" s="53"/>
      <c r="H153" s="53"/>
    </row>
    <row r="154" spans="1:8" x14ac:dyDescent="0.3">
      <c r="A154" s="53" t="s">
        <v>329</v>
      </c>
      <c r="B154" s="53"/>
      <c r="C154" s="53"/>
      <c r="D154" s="53"/>
      <c r="E154" s="53"/>
      <c r="F154" s="53"/>
      <c r="G154" s="53"/>
      <c r="H154" s="53"/>
    </row>
    <row r="155" spans="1:8" x14ac:dyDescent="0.3">
      <c r="A155" s="53" t="s">
        <v>330</v>
      </c>
      <c r="B155" s="53"/>
      <c r="C155" s="53"/>
      <c r="D155" s="53"/>
      <c r="E155" s="53"/>
      <c r="F155" s="53"/>
      <c r="G155" s="53"/>
      <c r="H155" s="53"/>
    </row>
    <row r="156" spans="1:8" x14ac:dyDescent="0.3">
      <c r="A156" s="53" t="s">
        <v>331</v>
      </c>
      <c r="B156" s="53"/>
      <c r="C156" s="53"/>
      <c r="D156" s="53"/>
      <c r="E156" s="53"/>
      <c r="F156" s="53"/>
      <c r="G156" s="53"/>
      <c r="H156" s="53"/>
    </row>
    <row r="157" spans="1:8" x14ac:dyDescent="0.3">
      <c r="A157" s="53" t="s">
        <v>332</v>
      </c>
      <c r="B157" s="53"/>
      <c r="C157" s="53"/>
      <c r="D157" s="53"/>
      <c r="E157" s="53"/>
      <c r="F157" s="53"/>
      <c r="G157" s="53"/>
      <c r="H157" s="53"/>
    </row>
    <row r="158" spans="1:8" x14ac:dyDescent="0.3">
      <c r="A158" s="53" t="s">
        <v>333</v>
      </c>
      <c r="B158" s="53"/>
      <c r="C158" s="53"/>
      <c r="D158" s="53"/>
      <c r="E158" s="53"/>
      <c r="F158" s="53"/>
      <c r="G158" s="53"/>
      <c r="H158" s="53"/>
    </row>
    <row r="159" spans="1:8" x14ac:dyDescent="0.3">
      <c r="A159" s="53" t="s">
        <v>334</v>
      </c>
      <c r="B159" s="53"/>
      <c r="C159" s="53"/>
      <c r="D159" s="53"/>
      <c r="E159" s="53"/>
      <c r="F159" s="53"/>
      <c r="G159" s="53"/>
      <c r="H159" s="53"/>
    </row>
    <row r="160" spans="1:8" x14ac:dyDescent="0.3">
      <c r="A160" s="53" t="s">
        <v>335</v>
      </c>
      <c r="B160" s="53"/>
      <c r="C160" s="53"/>
      <c r="D160" s="53"/>
      <c r="E160" s="53"/>
      <c r="F160" s="53"/>
      <c r="G160" s="53"/>
      <c r="H160" s="53"/>
    </row>
    <row r="161" spans="1:8" x14ac:dyDescent="0.3">
      <c r="A161" s="53" t="s">
        <v>336</v>
      </c>
      <c r="B161" s="53"/>
      <c r="C161" s="53"/>
      <c r="D161" s="53"/>
      <c r="E161" s="53"/>
      <c r="F161" s="53"/>
      <c r="G161" s="53"/>
      <c r="H161" s="53"/>
    </row>
    <row r="162" spans="1:8" x14ac:dyDescent="0.3">
      <c r="A162" s="53" t="s">
        <v>337</v>
      </c>
      <c r="B162" s="53"/>
      <c r="C162" s="53"/>
      <c r="D162" s="53"/>
      <c r="E162" s="53"/>
      <c r="F162" s="53"/>
      <c r="G162" s="53"/>
      <c r="H162" s="53"/>
    </row>
    <row r="163" spans="1:8" x14ac:dyDescent="0.3">
      <c r="A163" s="53" t="s">
        <v>338</v>
      </c>
      <c r="B163" s="53"/>
      <c r="C163" s="53"/>
      <c r="D163" s="53"/>
      <c r="E163" s="53"/>
      <c r="F163" s="53"/>
      <c r="G163" s="53"/>
      <c r="H163" s="53"/>
    </row>
    <row r="164" spans="1:8" x14ac:dyDescent="0.3">
      <c r="A164" s="53" t="s">
        <v>326</v>
      </c>
      <c r="B164" s="53"/>
      <c r="C164" s="53"/>
      <c r="D164" s="53"/>
      <c r="E164" s="53"/>
      <c r="F164" s="53"/>
      <c r="G164" s="53"/>
      <c r="H164" s="53"/>
    </row>
    <row r="165" spans="1:8" x14ac:dyDescent="0.3">
      <c r="A165" s="53" t="s">
        <v>216</v>
      </c>
      <c r="B165" s="53"/>
      <c r="C165" s="53"/>
      <c r="D165" s="53"/>
      <c r="E165" s="53"/>
      <c r="F165" s="53"/>
      <c r="G165" s="53"/>
      <c r="H165" s="53"/>
    </row>
    <row r="166" spans="1:8" x14ac:dyDescent="0.3">
      <c r="A166" s="53" t="s">
        <v>339</v>
      </c>
      <c r="B166" s="53"/>
      <c r="C166" s="53"/>
      <c r="D166" s="53"/>
      <c r="E166" s="53"/>
      <c r="F166" s="53"/>
      <c r="G166" s="53"/>
      <c r="H166" s="53"/>
    </row>
    <row r="167" spans="1:8" x14ac:dyDescent="0.3">
      <c r="A167" s="53" t="s">
        <v>340</v>
      </c>
      <c r="B167" s="53"/>
      <c r="C167" s="53"/>
      <c r="D167" s="53"/>
      <c r="E167" s="53"/>
      <c r="F167" s="53"/>
      <c r="G167" s="53"/>
      <c r="H167" s="53"/>
    </row>
    <row r="168" spans="1:8" x14ac:dyDescent="0.3">
      <c r="A168" s="53" t="s">
        <v>341</v>
      </c>
      <c r="B168" s="53"/>
      <c r="C168" s="53"/>
      <c r="D168" s="53"/>
      <c r="E168" s="53"/>
      <c r="F168" s="53"/>
      <c r="G168" s="53"/>
      <c r="H168" s="53"/>
    </row>
    <row r="169" spans="1:8" x14ac:dyDescent="0.3">
      <c r="A169" s="53" t="s">
        <v>342</v>
      </c>
      <c r="B169" s="53"/>
      <c r="C169" s="53"/>
      <c r="D169" s="53"/>
      <c r="E169" s="53"/>
      <c r="F169" s="53"/>
      <c r="G169" s="53"/>
      <c r="H169" s="53"/>
    </row>
    <row r="170" spans="1:8" x14ac:dyDescent="0.3">
      <c r="A170" s="53" t="s">
        <v>343</v>
      </c>
      <c r="B170" s="53"/>
      <c r="C170" s="53"/>
      <c r="D170" s="53"/>
      <c r="E170" s="53"/>
      <c r="F170" s="53"/>
      <c r="G170" s="53"/>
      <c r="H170" s="53"/>
    </row>
    <row r="171" spans="1:8" x14ac:dyDescent="0.3">
      <c r="A171" s="53" t="s">
        <v>344</v>
      </c>
      <c r="B171" s="53"/>
      <c r="C171" s="53"/>
      <c r="D171" s="53"/>
      <c r="E171" s="53"/>
      <c r="F171" s="53"/>
      <c r="G171" s="53"/>
      <c r="H171" s="53"/>
    </row>
    <row r="172" spans="1:8" x14ac:dyDescent="0.3">
      <c r="A172" s="53" t="s">
        <v>345</v>
      </c>
      <c r="B172" s="53"/>
      <c r="C172" s="53"/>
      <c r="D172" s="53"/>
      <c r="E172" s="53"/>
      <c r="F172" s="53"/>
      <c r="G172" s="53"/>
      <c r="H172" s="53"/>
    </row>
    <row r="173" spans="1:8" x14ac:dyDescent="0.3">
      <c r="A173" s="53" t="s">
        <v>346</v>
      </c>
      <c r="B173" s="53"/>
      <c r="C173" s="53"/>
      <c r="D173" s="53"/>
      <c r="E173" s="53"/>
      <c r="F173" s="53"/>
      <c r="G173" s="53"/>
      <c r="H173" s="53"/>
    </row>
    <row r="174" spans="1:8" x14ac:dyDescent="0.3">
      <c r="A174" s="53" t="s">
        <v>216</v>
      </c>
      <c r="B174" s="53"/>
      <c r="C174" s="53"/>
      <c r="D174" s="53"/>
      <c r="E174" s="53"/>
      <c r="F174" s="53"/>
      <c r="G174" s="53"/>
      <c r="H174" s="53"/>
    </row>
    <row r="175" spans="1:8" x14ac:dyDescent="0.3">
      <c r="A175" s="53" t="s">
        <v>347</v>
      </c>
      <c r="B175" s="53"/>
      <c r="C175" s="53"/>
      <c r="D175" s="53"/>
      <c r="E175" s="53"/>
      <c r="F175" s="53"/>
      <c r="G175" s="53"/>
      <c r="H175" s="53"/>
    </row>
    <row r="176" spans="1:8" x14ac:dyDescent="0.3">
      <c r="A176" s="53" t="s">
        <v>340</v>
      </c>
      <c r="B176" s="53"/>
      <c r="C176" s="53"/>
      <c r="D176" s="53"/>
      <c r="E176" s="53"/>
      <c r="F176" s="53"/>
      <c r="G176" s="53"/>
      <c r="H176" s="53"/>
    </row>
    <row r="177" spans="1:8" x14ac:dyDescent="0.3">
      <c r="A177" s="53" t="s">
        <v>348</v>
      </c>
      <c r="B177" s="53"/>
      <c r="C177" s="53"/>
      <c r="D177" s="53"/>
      <c r="E177" s="53"/>
      <c r="F177" s="53"/>
      <c r="G177" s="53"/>
      <c r="H177" s="53"/>
    </row>
    <row r="178" spans="1:8" x14ac:dyDescent="0.3">
      <c r="A178" s="53" t="s">
        <v>342</v>
      </c>
      <c r="B178" s="53"/>
      <c r="C178" s="53"/>
      <c r="D178" s="53"/>
      <c r="E178" s="53"/>
      <c r="F178" s="53"/>
      <c r="G178" s="53"/>
      <c r="H178" s="53"/>
    </row>
    <row r="179" spans="1:8" x14ac:dyDescent="0.3">
      <c r="A179" s="53" t="s">
        <v>349</v>
      </c>
      <c r="B179" s="53"/>
      <c r="C179" s="53"/>
      <c r="D179" s="53"/>
      <c r="E179" s="53"/>
      <c r="F179" s="53"/>
      <c r="G179" s="53"/>
      <c r="H179" s="53"/>
    </row>
    <row r="180" spans="1:8" x14ac:dyDescent="0.3">
      <c r="A180" s="53" t="s">
        <v>350</v>
      </c>
      <c r="B180" s="53"/>
      <c r="C180" s="53"/>
      <c r="D180" s="53"/>
      <c r="E180" s="53"/>
      <c r="F180" s="53"/>
      <c r="G180" s="53"/>
      <c r="H180" s="53"/>
    </row>
    <row r="181" spans="1:8" x14ac:dyDescent="0.3">
      <c r="A181" s="53" t="s">
        <v>246</v>
      </c>
      <c r="B181" s="53"/>
      <c r="C181" s="53"/>
      <c r="D181" s="53"/>
      <c r="E181" s="53"/>
      <c r="F181" s="53"/>
      <c r="G181" s="53"/>
      <c r="H181" s="53"/>
    </row>
    <row r="182" spans="1:8" x14ac:dyDescent="0.3">
      <c r="A182" s="53" t="s">
        <v>344</v>
      </c>
      <c r="B182" s="53"/>
      <c r="C182" s="53"/>
      <c r="D182" s="53"/>
      <c r="E182" s="53"/>
      <c r="F182" s="53"/>
      <c r="G182" s="53"/>
      <c r="H182" s="53"/>
    </row>
    <row r="183" spans="1:8" x14ac:dyDescent="0.3">
      <c r="A183" s="53" t="s">
        <v>351</v>
      </c>
      <c r="B183" s="53"/>
      <c r="C183" s="53"/>
      <c r="D183" s="53"/>
      <c r="E183" s="53"/>
      <c r="F183" s="53"/>
      <c r="G183" s="53"/>
      <c r="H183" s="53"/>
    </row>
    <row r="184" spans="1:8" x14ac:dyDescent="0.3">
      <c r="A184" s="53" t="s">
        <v>346</v>
      </c>
      <c r="B184" s="53"/>
      <c r="C184" s="53"/>
      <c r="D184" s="53"/>
      <c r="E184" s="53"/>
      <c r="F184" s="53"/>
      <c r="G184" s="53"/>
      <c r="H184" s="53"/>
    </row>
    <row r="185" spans="1:8" x14ac:dyDescent="0.3">
      <c r="A185" s="53" t="s">
        <v>216</v>
      </c>
      <c r="B185" s="53"/>
      <c r="C185" s="53"/>
      <c r="D185" s="53"/>
      <c r="E185" s="53"/>
      <c r="F185" s="53"/>
      <c r="G185" s="53"/>
      <c r="H185" s="53"/>
    </row>
    <row r="186" spans="1:8" x14ac:dyDescent="0.3">
      <c r="A186" s="53" t="s">
        <v>352</v>
      </c>
      <c r="B186" s="53"/>
      <c r="C186" s="53"/>
      <c r="D186" s="53"/>
      <c r="E186" s="53"/>
      <c r="F186" s="53"/>
      <c r="G186" s="53"/>
      <c r="H186" s="53"/>
    </row>
    <row r="187" spans="1:8" x14ac:dyDescent="0.3">
      <c r="A187" s="53" t="s">
        <v>353</v>
      </c>
      <c r="B187" s="53"/>
      <c r="C187" s="53"/>
      <c r="D187" s="53"/>
      <c r="E187" s="53"/>
      <c r="F187" s="53"/>
      <c r="G187" s="53"/>
      <c r="H187" s="53"/>
    </row>
    <row r="188" spans="1:8" x14ac:dyDescent="0.3">
      <c r="A188" s="53" t="s">
        <v>354</v>
      </c>
      <c r="B188" s="53"/>
      <c r="C188" s="53"/>
      <c r="D188" s="53"/>
      <c r="E188" s="53"/>
      <c r="F188" s="53"/>
      <c r="G188" s="53"/>
      <c r="H188" s="53"/>
    </row>
    <row r="189" spans="1:8" x14ac:dyDescent="0.3">
      <c r="A189" s="53" t="s">
        <v>355</v>
      </c>
      <c r="B189" s="53"/>
      <c r="C189" s="53"/>
      <c r="D189" s="53"/>
      <c r="E189" s="53"/>
      <c r="F189" s="53"/>
      <c r="G189" s="53"/>
      <c r="H189" s="53"/>
    </row>
    <row r="190" spans="1:8" x14ac:dyDescent="0.3">
      <c r="A190" s="53" t="s">
        <v>356</v>
      </c>
      <c r="B190" s="53"/>
      <c r="C190" s="53"/>
      <c r="D190" s="53"/>
      <c r="E190" s="53"/>
      <c r="F190" s="53"/>
      <c r="G190" s="53"/>
      <c r="H190" s="53"/>
    </row>
    <row r="191" spans="1:8" x14ac:dyDescent="0.3">
      <c r="A191" s="53" t="s">
        <v>357</v>
      </c>
      <c r="B191" s="53"/>
      <c r="C191" s="53"/>
      <c r="D191" s="53"/>
      <c r="E191" s="53"/>
      <c r="F191" s="53"/>
      <c r="G191" s="53"/>
      <c r="H191" s="53"/>
    </row>
    <row r="192" spans="1:8" x14ac:dyDescent="0.3">
      <c r="A192" s="53" t="s">
        <v>358</v>
      </c>
      <c r="B192" s="53"/>
      <c r="C192" s="53"/>
      <c r="D192" s="53"/>
      <c r="E192" s="53"/>
      <c r="F192" s="53"/>
      <c r="G192" s="53"/>
      <c r="H192" s="53"/>
    </row>
    <row r="193" spans="1:8" x14ac:dyDescent="0.3">
      <c r="A193" s="53" t="s">
        <v>359</v>
      </c>
      <c r="B193" s="53"/>
      <c r="C193" s="53"/>
      <c r="D193" s="53"/>
      <c r="E193" s="53"/>
      <c r="F193" s="53"/>
      <c r="G193" s="53"/>
      <c r="H193" s="53"/>
    </row>
    <row r="194" spans="1:8" x14ac:dyDescent="0.3">
      <c r="A194" s="53" t="s">
        <v>360</v>
      </c>
      <c r="B194" s="53"/>
      <c r="C194" s="53"/>
      <c r="D194" s="53"/>
      <c r="E194" s="53"/>
      <c r="F194" s="53"/>
      <c r="G194" s="53"/>
      <c r="H194" s="53"/>
    </row>
    <row r="195" spans="1:8" x14ac:dyDescent="0.3">
      <c r="A195" s="53" t="s">
        <v>361</v>
      </c>
      <c r="B195" s="53"/>
      <c r="C195" s="53"/>
      <c r="D195" s="53"/>
      <c r="E195" s="53"/>
      <c r="F195" s="53"/>
      <c r="G195" s="53"/>
      <c r="H195" s="53"/>
    </row>
    <row r="196" spans="1:8" x14ac:dyDescent="0.3">
      <c r="A196" s="53" t="s">
        <v>362</v>
      </c>
      <c r="B196" s="53"/>
      <c r="C196" s="53"/>
      <c r="D196" s="53"/>
      <c r="E196" s="53"/>
      <c r="F196" s="53"/>
      <c r="G196" s="53"/>
      <c r="H196" s="53"/>
    </row>
    <row r="197" spans="1:8" x14ac:dyDescent="0.3">
      <c r="A197" s="53" t="s">
        <v>268</v>
      </c>
      <c r="B197" s="53"/>
      <c r="C197" s="53"/>
      <c r="D197" s="53"/>
      <c r="E197" s="53"/>
      <c r="F197" s="53"/>
      <c r="G197" s="53"/>
      <c r="H197" s="53"/>
    </row>
    <row r="198" spans="1:8" x14ac:dyDescent="0.3">
      <c r="A198" s="53" t="s">
        <v>363</v>
      </c>
      <c r="B198" s="53"/>
      <c r="C198" s="53"/>
      <c r="D198" s="53"/>
      <c r="E198" s="53"/>
      <c r="F198" s="53"/>
      <c r="G198" s="53"/>
      <c r="H198" s="53"/>
    </row>
    <row r="199" spans="1:8" x14ac:dyDescent="0.3">
      <c r="A199" s="53" t="s">
        <v>326</v>
      </c>
      <c r="B199" s="53"/>
      <c r="C199" s="53"/>
      <c r="D199" s="53"/>
      <c r="E199" s="53"/>
      <c r="F199" s="53"/>
      <c r="G199" s="53"/>
      <c r="H199" s="53"/>
    </row>
    <row r="200" spans="1:8" x14ac:dyDescent="0.3">
      <c r="A200" s="53" t="s">
        <v>216</v>
      </c>
      <c r="B200" s="53"/>
      <c r="C200" s="53"/>
      <c r="D200" s="53"/>
      <c r="E200" s="53"/>
      <c r="F200" s="53"/>
      <c r="G200" s="53"/>
      <c r="H200" s="53"/>
    </row>
    <row r="201" spans="1:8" x14ac:dyDescent="0.3">
      <c r="A201" s="53" t="s">
        <v>364</v>
      </c>
      <c r="B201" s="53"/>
      <c r="C201" s="53"/>
      <c r="D201" s="53"/>
      <c r="E201" s="53"/>
      <c r="F201" s="53"/>
      <c r="G201" s="53"/>
      <c r="H201" s="53"/>
    </row>
    <row r="202" spans="1:8" x14ac:dyDescent="0.3">
      <c r="A202" s="53" t="s">
        <v>365</v>
      </c>
      <c r="B202" s="53"/>
      <c r="C202" s="53"/>
      <c r="D202" s="53"/>
      <c r="E202" s="53"/>
      <c r="F202" s="53"/>
      <c r="G202" s="53"/>
      <c r="H202" s="53"/>
    </row>
    <row r="203" spans="1:8" x14ac:dyDescent="0.3">
      <c r="A203" s="53" t="s">
        <v>366</v>
      </c>
      <c r="B203" s="53"/>
      <c r="C203" s="53"/>
      <c r="D203" s="53"/>
      <c r="E203" s="53"/>
      <c r="F203" s="53"/>
      <c r="G203" s="53"/>
      <c r="H203" s="53"/>
    </row>
    <row r="204" spans="1:8" x14ac:dyDescent="0.3">
      <c r="A204" s="53" t="s">
        <v>367</v>
      </c>
      <c r="B204" s="53"/>
      <c r="C204" s="53"/>
      <c r="D204" s="53"/>
      <c r="E204" s="53"/>
      <c r="F204" s="53"/>
      <c r="G204" s="53"/>
      <c r="H204" s="53"/>
    </row>
    <row r="205" spans="1:8" x14ac:dyDescent="0.3">
      <c r="A205" s="53" t="s">
        <v>368</v>
      </c>
      <c r="B205" s="53"/>
      <c r="C205" s="53"/>
      <c r="D205" s="53"/>
      <c r="E205" s="53"/>
      <c r="F205" s="53"/>
      <c r="G205" s="53"/>
      <c r="H205" s="53"/>
    </row>
    <row r="206" spans="1:8" x14ac:dyDescent="0.3">
      <c r="A206" s="53" t="s">
        <v>369</v>
      </c>
      <c r="B206" s="53"/>
      <c r="C206" s="53"/>
      <c r="D206" s="53"/>
      <c r="E206" s="53"/>
      <c r="F206" s="53"/>
      <c r="G206" s="53"/>
      <c r="H206" s="53"/>
    </row>
    <row r="207" spans="1:8" x14ac:dyDescent="0.3">
      <c r="A207" s="53" t="s">
        <v>346</v>
      </c>
      <c r="B207" s="53"/>
      <c r="C207" s="53"/>
      <c r="D207" s="53"/>
      <c r="E207" s="53"/>
      <c r="F207" s="53"/>
      <c r="G207" s="53"/>
      <c r="H207" s="53"/>
    </row>
    <row r="208" spans="1:8" x14ac:dyDescent="0.3">
      <c r="A208" s="53" t="s">
        <v>216</v>
      </c>
      <c r="B208" s="53"/>
      <c r="C208" s="53"/>
      <c r="D208" s="53"/>
      <c r="E208" s="53"/>
      <c r="F208" s="53"/>
      <c r="G208" s="53"/>
      <c r="H208" s="53"/>
    </row>
    <row r="209" spans="1:8" x14ac:dyDescent="0.3">
      <c r="A209" s="53" t="s">
        <v>370</v>
      </c>
      <c r="B209" s="53"/>
      <c r="C209" s="53"/>
      <c r="D209" s="53"/>
      <c r="E209" s="53"/>
      <c r="F209" s="53"/>
      <c r="G209" s="53"/>
      <c r="H209" s="53"/>
    </row>
    <row r="210" spans="1:8" x14ac:dyDescent="0.3">
      <c r="A210" s="53" t="s">
        <v>371</v>
      </c>
      <c r="B210" s="53"/>
      <c r="C210" s="53"/>
      <c r="D210" s="53"/>
      <c r="E210" s="53"/>
      <c r="F210" s="53"/>
      <c r="G210" s="53"/>
      <c r="H210" s="53"/>
    </row>
    <row r="211" spans="1:8" x14ac:dyDescent="0.3">
      <c r="A211" s="53" t="s">
        <v>372</v>
      </c>
      <c r="B211" s="53"/>
      <c r="C211" s="53"/>
      <c r="D211" s="53"/>
      <c r="E211" s="53"/>
      <c r="F211" s="53"/>
      <c r="G211" s="53"/>
      <c r="H211" s="53"/>
    </row>
    <row r="212" spans="1:8" x14ac:dyDescent="0.3">
      <c r="A212" s="53" t="s">
        <v>373</v>
      </c>
      <c r="B212" s="53"/>
      <c r="C212" s="53"/>
      <c r="D212" s="53"/>
      <c r="E212" s="53"/>
      <c r="F212" s="53"/>
      <c r="G212" s="53"/>
      <c r="H212" s="53"/>
    </row>
    <row r="213" spans="1:8" x14ac:dyDescent="0.3">
      <c r="A213" s="53" t="s">
        <v>374</v>
      </c>
      <c r="B213" s="53"/>
      <c r="C213" s="53"/>
      <c r="D213" s="53"/>
      <c r="E213" s="53"/>
      <c r="F213" s="53"/>
      <c r="G213" s="53"/>
      <c r="H213" s="53"/>
    </row>
    <row r="214" spans="1:8" x14ac:dyDescent="0.3">
      <c r="A214" s="53" t="s">
        <v>375</v>
      </c>
      <c r="B214" s="53"/>
      <c r="C214" s="53"/>
      <c r="D214" s="53"/>
      <c r="E214" s="53"/>
      <c r="F214" s="53"/>
      <c r="G214" s="53"/>
      <c r="H214" s="53"/>
    </row>
    <row r="215" spans="1:8" x14ac:dyDescent="0.3">
      <c r="A215" s="53" t="s">
        <v>376</v>
      </c>
      <c r="B215" s="53"/>
      <c r="C215" s="53"/>
      <c r="D215" s="53"/>
      <c r="E215" s="53"/>
      <c r="F215" s="53"/>
      <c r="G215" s="53"/>
      <c r="H215" s="53"/>
    </row>
    <row r="216" spans="1:8" x14ac:dyDescent="0.3">
      <c r="A216" s="53" t="s">
        <v>377</v>
      </c>
      <c r="B216" s="53"/>
      <c r="C216" s="53"/>
      <c r="D216" s="53"/>
      <c r="E216" s="53"/>
      <c r="F216" s="53"/>
      <c r="G216" s="53"/>
      <c r="H216" s="53"/>
    </row>
    <row r="217" spans="1:8" x14ac:dyDescent="0.3">
      <c r="A217" s="53" t="s">
        <v>378</v>
      </c>
      <c r="B217" s="53"/>
      <c r="C217" s="53"/>
      <c r="D217" s="53"/>
      <c r="E217" s="53"/>
      <c r="F217" s="53"/>
      <c r="G217" s="53"/>
      <c r="H217" s="53"/>
    </row>
    <row r="218" spans="1:8" x14ac:dyDescent="0.3">
      <c r="A218" s="53" t="s">
        <v>257</v>
      </c>
      <c r="B218" s="53"/>
      <c r="C218" s="53"/>
      <c r="D218" s="53"/>
      <c r="E218" s="53"/>
      <c r="F218" s="53"/>
      <c r="G218" s="53"/>
      <c r="H218" s="53"/>
    </row>
    <row r="219" spans="1:8" x14ac:dyDescent="0.3">
      <c r="A219" s="53" t="s">
        <v>379</v>
      </c>
      <c r="B219" s="53"/>
      <c r="C219" s="53"/>
      <c r="D219" s="53"/>
      <c r="E219" s="53"/>
      <c r="F219" s="53"/>
      <c r="G219" s="53"/>
      <c r="H219" s="53"/>
    </row>
    <row r="220" spans="1:8" x14ac:dyDescent="0.3">
      <c r="A220" s="53" t="s">
        <v>346</v>
      </c>
      <c r="B220" s="53"/>
      <c r="C220" s="53"/>
      <c r="D220" s="53"/>
      <c r="E220" s="53"/>
      <c r="F220" s="53"/>
      <c r="G220" s="53"/>
      <c r="H220" s="53"/>
    </row>
    <row r="221" spans="1:8" x14ac:dyDescent="0.3">
      <c r="A221" s="53" t="s">
        <v>216</v>
      </c>
      <c r="B221" s="53"/>
      <c r="C221" s="53"/>
      <c r="D221" s="53"/>
      <c r="E221" s="53"/>
      <c r="F221" s="53"/>
      <c r="G221" s="53"/>
      <c r="H221" s="53"/>
    </row>
    <row r="222" spans="1:8" x14ac:dyDescent="0.3">
      <c r="A222" s="53" t="s">
        <v>380</v>
      </c>
      <c r="B222" s="53"/>
      <c r="C222" s="53"/>
      <c r="D222" s="53"/>
      <c r="E222" s="53"/>
      <c r="F222" s="53"/>
      <c r="G222" s="53"/>
      <c r="H222" s="53"/>
    </row>
    <row r="223" spans="1:8" x14ac:dyDescent="0.3">
      <c r="A223" s="53" t="s">
        <v>381</v>
      </c>
      <c r="B223" s="53"/>
      <c r="C223" s="53"/>
      <c r="D223" s="53"/>
      <c r="E223" s="53"/>
      <c r="F223" s="53"/>
      <c r="G223" s="53"/>
      <c r="H223" s="53"/>
    </row>
    <row r="224" spans="1:8" x14ac:dyDescent="0.3">
      <c r="A224" s="53" t="s">
        <v>382</v>
      </c>
      <c r="B224" s="53"/>
      <c r="C224" s="53"/>
      <c r="D224" s="53"/>
      <c r="E224" s="53"/>
      <c r="F224" s="53"/>
      <c r="G224" s="53"/>
      <c r="H224" s="53"/>
    </row>
    <row r="225" spans="1:8" x14ac:dyDescent="0.3">
      <c r="A225" s="53" t="s">
        <v>383</v>
      </c>
      <c r="B225" s="53"/>
      <c r="C225" s="53"/>
      <c r="D225" s="53"/>
      <c r="E225" s="53"/>
      <c r="F225" s="53"/>
      <c r="G225" s="53"/>
      <c r="H225" s="53"/>
    </row>
    <row r="226" spans="1:8" x14ac:dyDescent="0.3">
      <c r="A226" s="53" t="s">
        <v>384</v>
      </c>
      <c r="B226" s="53"/>
      <c r="C226" s="53"/>
      <c r="D226" s="53"/>
      <c r="E226" s="53"/>
      <c r="F226" s="53"/>
      <c r="G226" s="53"/>
      <c r="H226" s="53"/>
    </row>
    <row r="227" spans="1:8" x14ac:dyDescent="0.3">
      <c r="A227" s="53" t="s">
        <v>385</v>
      </c>
      <c r="B227" s="53"/>
      <c r="C227" s="53"/>
      <c r="D227" s="53"/>
      <c r="E227" s="53"/>
      <c r="F227" s="53"/>
      <c r="G227" s="53"/>
      <c r="H227" s="53"/>
    </row>
    <row r="228" spans="1:8" x14ac:dyDescent="0.3">
      <c r="A228" s="53" t="s">
        <v>386</v>
      </c>
      <c r="B228" s="53"/>
      <c r="C228" s="53"/>
      <c r="D228" s="53"/>
      <c r="E228" s="53"/>
      <c r="F228" s="53"/>
      <c r="G228" s="53"/>
      <c r="H228" s="53"/>
    </row>
    <row r="229" spans="1:8" x14ac:dyDescent="0.3">
      <c r="A229" s="53" t="s">
        <v>387</v>
      </c>
      <c r="B229" s="53"/>
      <c r="C229" s="53"/>
      <c r="D229" s="53"/>
      <c r="E229" s="53"/>
      <c r="F229" s="53"/>
      <c r="G229" s="53"/>
      <c r="H229" s="53"/>
    </row>
    <row r="230" spans="1:8" x14ac:dyDescent="0.3">
      <c r="A230" s="53" t="s">
        <v>388</v>
      </c>
      <c r="B230" s="53"/>
      <c r="C230" s="53"/>
      <c r="D230" s="53"/>
      <c r="E230" s="53"/>
      <c r="F230" s="53"/>
      <c r="G230" s="53"/>
      <c r="H230" s="53"/>
    </row>
    <row r="231" spans="1:8" x14ac:dyDescent="0.3">
      <c r="A231" s="53" t="s">
        <v>389</v>
      </c>
      <c r="B231" s="53"/>
      <c r="C231" s="53"/>
      <c r="D231" s="53"/>
      <c r="E231" s="53"/>
      <c r="F231" s="53"/>
      <c r="G231" s="53"/>
      <c r="H231" s="53"/>
    </row>
    <row r="232" spans="1:8" x14ac:dyDescent="0.3">
      <c r="A232" s="53" t="s">
        <v>390</v>
      </c>
      <c r="B232" s="53"/>
      <c r="C232" s="53"/>
      <c r="D232" s="53"/>
      <c r="E232" s="53"/>
      <c r="F232" s="53"/>
      <c r="G232" s="53"/>
      <c r="H232" s="53"/>
    </row>
    <row r="233" spans="1:8" x14ac:dyDescent="0.3">
      <c r="A233" s="53" t="s">
        <v>391</v>
      </c>
      <c r="B233" s="53"/>
      <c r="C233" s="53"/>
      <c r="D233" s="53"/>
      <c r="E233" s="53"/>
      <c r="F233" s="53"/>
      <c r="G233" s="53"/>
      <c r="H233" s="53"/>
    </row>
    <row r="234" spans="1:8" x14ac:dyDescent="0.3">
      <c r="A234" s="53" t="s">
        <v>392</v>
      </c>
      <c r="B234" s="53"/>
      <c r="C234" s="53"/>
      <c r="D234" s="53"/>
      <c r="E234" s="53"/>
      <c r="F234" s="53"/>
      <c r="G234" s="53"/>
      <c r="H234" s="53"/>
    </row>
    <row r="235" spans="1:8" x14ac:dyDescent="0.3">
      <c r="A235" s="53" t="s">
        <v>246</v>
      </c>
      <c r="B235" s="53"/>
      <c r="C235" s="53"/>
      <c r="D235" s="53"/>
      <c r="E235" s="53"/>
      <c r="F235" s="53"/>
      <c r="G235" s="53"/>
      <c r="H235" s="53"/>
    </row>
    <row r="236" spans="1:8" x14ac:dyDescent="0.3">
      <c r="A236" s="53" t="s">
        <v>393</v>
      </c>
      <c r="B236" s="53"/>
      <c r="C236" s="53"/>
      <c r="D236" s="53"/>
      <c r="E236" s="53"/>
      <c r="F236" s="53"/>
      <c r="G236" s="53"/>
      <c r="H236" s="53"/>
    </row>
    <row r="237" spans="1:8" x14ac:dyDescent="0.3">
      <c r="A237" s="53" t="s">
        <v>326</v>
      </c>
      <c r="B237" s="53"/>
      <c r="C237" s="53"/>
      <c r="D237" s="53"/>
      <c r="E237" s="53"/>
      <c r="F237" s="53"/>
      <c r="G237" s="53"/>
      <c r="H237" s="53"/>
    </row>
    <row r="238" spans="1:8" x14ac:dyDescent="0.3">
      <c r="A238" s="53" t="s">
        <v>216</v>
      </c>
      <c r="B238" s="53"/>
      <c r="C238" s="53"/>
      <c r="D238" s="53"/>
      <c r="E238" s="53"/>
      <c r="F238" s="53"/>
      <c r="G238" s="53"/>
      <c r="H238" s="53"/>
    </row>
    <row r="239" spans="1:8" x14ac:dyDescent="0.3">
      <c r="A239" s="53" t="s">
        <v>394</v>
      </c>
      <c r="B239" s="53"/>
      <c r="C239" s="53"/>
      <c r="D239" s="53"/>
      <c r="E239" s="53"/>
      <c r="F239" s="53"/>
      <c r="G239" s="53"/>
      <c r="H239" s="53"/>
    </row>
    <row r="240" spans="1:8" x14ac:dyDescent="0.3">
      <c r="A240" s="53" t="s">
        <v>395</v>
      </c>
      <c r="B240" s="53"/>
      <c r="C240" s="53"/>
      <c r="D240" s="53"/>
      <c r="E240" s="53"/>
      <c r="F240" s="53"/>
      <c r="G240" s="53"/>
      <c r="H240" s="53"/>
    </row>
    <row r="241" spans="1:8" x14ac:dyDescent="0.3">
      <c r="A241" s="53" t="s">
        <v>340</v>
      </c>
      <c r="B241" s="53"/>
      <c r="C241" s="53"/>
      <c r="D241" s="53"/>
      <c r="E241" s="53"/>
      <c r="F241" s="53"/>
      <c r="G241" s="53"/>
      <c r="H241" s="53"/>
    </row>
    <row r="242" spans="1:8" x14ac:dyDescent="0.3">
      <c r="A242" s="53" t="s">
        <v>396</v>
      </c>
      <c r="B242" s="53"/>
      <c r="C242" s="53"/>
      <c r="D242" s="53"/>
      <c r="E242" s="53"/>
      <c r="F242" s="53"/>
      <c r="G242" s="53"/>
      <c r="H242" s="53"/>
    </row>
    <row r="243" spans="1:8" x14ac:dyDescent="0.3">
      <c r="A243" s="53" t="s">
        <v>342</v>
      </c>
      <c r="B243" s="53"/>
      <c r="C243" s="53"/>
      <c r="D243" s="53"/>
      <c r="E243" s="53"/>
      <c r="F243" s="53"/>
      <c r="G243" s="53"/>
      <c r="H243" s="53"/>
    </row>
    <row r="244" spans="1:8" x14ac:dyDescent="0.3">
      <c r="A244" s="53" t="s">
        <v>349</v>
      </c>
      <c r="B244" s="53"/>
      <c r="C244" s="53"/>
      <c r="D244" s="53"/>
      <c r="E244" s="53"/>
      <c r="F244" s="53"/>
      <c r="G244" s="53"/>
      <c r="H244" s="53"/>
    </row>
    <row r="245" spans="1:8" x14ac:dyDescent="0.3">
      <c r="A245" s="53" t="s">
        <v>397</v>
      </c>
      <c r="B245" s="53"/>
      <c r="C245" s="53"/>
      <c r="D245" s="53"/>
      <c r="E245" s="53"/>
      <c r="F245" s="53"/>
      <c r="G245" s="53"/>
      <c r="H245" s="53"/>
    </row>
    <row r="246" spans="1:8" x14ac:dyDescent="0.3">
      <c r="A246" s="53" t="s">
        <v>398</v>
      </c>
      <c r="B246" s="53"/>
      <c r="C246" s="53"/>
      <c r="D246" s="53"/>
      <c r="E246" s="53"/>
      <c r="F246" s="53"/>
      <c r="G246" s="53"/>
      <c r="H246" s="53"/>
    </row>
    <row r="247" spans="1:8" x14ac:dyDescent="0.3">
      <c r="A247" s="53" t="s">
        <v>399</v>
      </c>
      <c r="B247" s="53"/>
      <c r="C247" s="53"/>
      <c r="D247" s="53"/>
      <c r="E247" s="53"/>
      <c r="F247" s="53"/>
      <c r="G247" s="53"/>
      <c r="H247" s="53"/>
    </row>
    <row r="248" spans="1:8" x14ac:dyDescent="0.3">
      <c r="A248" s="53" t="s">
        <v>400</v>
      </c>
      <c r="B248" s="53"/>
      <c r="C248" s="53"/>
      <c r="D248" s="53"/>
      <c r="E248" s="53"/>
      <c r="F248" s="53"/>
      <c r="G248" s="53"/>
      <c r="H248" s="53"/>
    </row>
    <row r="249" spans="1:8" x14ac:dyDescent="0.3">
      <c r="A249" s="53" t="s">
        <v>246</v>
      </c>
      <c r="B249" s="53"/>
      <c r="C249" s="53"/>
      <c r="D249" s="53"/>
      <c r="E249" s="53"/>
      <c r="F249" s="53"/>
      <c r="G249" s="53"/>
      <c r="H249" s="53"/>
    </row>
    <row r="250" spans="1:8" x14ac:dyDescent="0.3">
      <c r="A250" s="53" t="s">
        <v>344</v>
      </c>
      <c r="B250" s="53"/>
      <c r="C250" s="53"/>
      <c r="D250" s="53"/>
      <c r="E250" s="53"/>
      <c r="F250" s="53"/>
      <c r="G250" s="53"/>
      <c r="H250" s="53"/>
    </row>
    <row r="251" spans="1:8" x14ac:dyDescent="0.3">
      <c r="A251" s="53" t="s">
        <v>401</v>
      </c>
      <c r="B251" s="53"/>
      <c r="C251" s="53"/>
      <c r="D251" s="53"/>
      <c r="E251" s="53"/>
      <c r="F251" s="53"/>
      <c r="G251" s="53"/>
      <c r="H251" s="53"/>
    </row>
    <row r="252" spans="1:8" x14ac:dyDescent="0.3">
      <c r="A252" s="53" t="s">
        <v>402</v>
      </c>
      <c r="B252" s="53"/>
      <c r="C252" s="53"/>
      <c r="D252" s="53"/>
      <c r="E252" s="53"/>
      <c r="F252" s="53"/>
      <c r="G252" s="53"/>
      <c r="H252" s="53"/>
    </row>
    <row r="253" spans="1:8" x14ac:dyDescent="0.3">
      <c r="A253" s="53" t="s">
        <v>257</v>
      </c>
      <c r="B253" s="53"/>
      <c r="C253" s="53"/>
      <c r="D253" s="53"/>
      <c r="E253" s="53"/>
      <c r="F253" s="53"/>
      <c r="G253" s="53"/>
      <c r="H253" s="53"/>
    </row>
    <row r="254" spans="1:8" x14ac:dyDescent="0.3">
      <c r="A254" s="53" t="s">
        <v>403</v>
      </c>
      <c r="B254" s="53"/>
      <c r="C254" s="53"/>
      <c r="D254" s="53"/>
      <c r="E254" s="53"/>
      <c r="F254" s="53"/>
      <c r="G254" s="53"/>
      <c r="H254" s="53"/>
    </row>
    <row r="255" spans="1:8" x14ac:dyDescent="0.3">
      <c r="A255" s="53" t="s">
        <v>346</v>
      </c>
      <c r="B255" s="53"/>
      <c r="C255" s="53"/>
      <c r="D255" s="53"/>
      <c r="E255" s="53"/>
      <c r="F255" s="53"/>
      <c r="G255" s="53"/>
      <c r="H255" s="53"/>
    </row>
    <row r="256" spans="1:8" x14ac:dyDescent="0.3">
      <c r="A256" s="53" t="s">
        <v>216</v>
      </c>
      <c r="B256" s="53"/>
      <c r="C256" s="53"/>
      <c r="D256" s="53"/>
      <c r="E256" s="53"/>
      <c r="F256" s="53"/>
      <c r="G256" s="53"/>
      <c r="H256" s="53"/>
    </row>
    <row r="257" spans="1:8" x14ac:dyDescent="0.3">
      <c r="A257" s="53" t="s">
        <v>404</v>
      </c>
      <c r="B257" s="53"/>
      <c r="C257" s="53"/>
      <c r="D257" s="53"/>
      <c r="E257" s="53"/>
      <c r="F257" s="53"/>
      <c r="G257" s="53"/>
      <c r="H257" s="53"/>
    </row>
    <row r="258" spans="1:8" x14ac:dyDescent="0.3">
      <c r="A258" s="53" t="s">
        <v>340</v>
      </c>
      <c r="B258" s="53"/>
      <c r="C258" s="53"/>
      <c r="D258" s="53"/>
      <c r="E258" s="53"/>
      <c r="F258" s="53"/>
      <c r="G258" s="53"/>
      <c r="H258" s="53"/>
    </row>
    <row r="259" spans="1:8" x14ac:dyDescent="0.3">
      <c r="A259" s="53" t="s">
        <v>396</v>
      </c>
      <c r="B259" s="53"/>
      <c r="C259" s="53"/>
      <c r="D259" s="53"/>
      <c r="E259" s="53"/>
      <c r="F259" s="53"/>
      <c r="G259" s="53"/>
      <c r="H259" s="53"/>
    </row>
    <row r="260" spans="1:8" x14ac:dyDescent="0.3">
      <c r="A260" s="53" t="s">
        <v>342</v>
      </c>
      <c r="B260" s="53"/>
      <c r="C260" s="53"/>
      <c r="D260" s="53"/>
      <c r="E260" s="53"/>
      <c r="F260" s="53"/>
      <c r="G260" s="53"/>
      <c r="H260" s="53"/>
    </row>
    <row r="261" spans="1:8" x14ac:dyDescent="0.3">
      <c r="A261" s="53" t="s">
        <v>349</v>
      </c>
      <c r="B261" s="53"/>
      <c r="C261" s="53"/>
      <c r="D261" s="53"/>
      <c r="E261" s="53"/>
      <c r="F261" s="53"/>
      <c r="G261" s="53"/>
      <c r="H261" s="53"/>
    </row>
    <row r="262" spans="1:8" x14ac:dyDescent="0.3">
      <c r="A262" s="53" t="s">
        <v>397</v>
      </c>
      <c r="B262" s="53"/>
      <c r="C262" s="53"/>
      <c r="D262" s="53"/>
      <c r="E262" s="53"/>
      <c r="F262" s="53"/>
      <c r="G262" s="53"/>
      <c r="H262" s="53"/>
    </row>
    <row r="263" spans="1:8" x14ac:dyDescent="0.3">
      <c r="A263" s="53" t="s">
        <v>398</v>
      </c>
      <c r="B263" s="53"/>
      <c r="C263" s="53"/>
      <c r="D263" s="53"/>
      <c r="E263" s="53"/>
      <c r="F263" s="53"/>
      <c r="G263" s="53"/>
      <c r="H263" s="53"/>
    </row>
    <row r="264" spans="1:8" x14ac:dyDescent="0.3">
      <c r="A264" s="53" t="s">
        <v>405</v>
      </c>
      <c r="B264" s="53"/>
      <c r="C264" s="53"/>
      <c r="D264" s="53"/>
      <c r="E264" s="53"/>
      <c r="F264" s="53"/>
      <c r="G264" s="53"/>
      <c r="H264" s="53"/>
    </row>
    <row r="265" spans="1:8" x14ac:dyDescent="0.3">
      <c r="A265" s="53" t="s">
        <v>400</v>
      </c>
      <c r="B265" s="53"/>
      <c r="C265" s="53"/>
      <c r="D265" s="53"/>
      <c r="E265" s="53"/>
      <c r="F265" s="53"/>
      <c r="G265" s="53"/>
      <c r="H265" s="53"/>
    </row>
    <row r="266" spans="1:8" x14ac:dyDescent="0.3">
      <c r="A266" s="53" t="s">
        <v>246</v>
      </c>
      <c r="B266" s="53"/>
      <c r="C266" s="53"/>
      <c r="D266" s="53"/>
      <c r="E266" s="53"/>
      <c r="F266" s="53"/>
      <c r="G266" s="53"/>
      <c r="H266" s="53"/>
    </row>
    <row r="267" spans="1:8" x14ac:dyDescent="0.3">
      <c r="A267" s="53" t="s">
        <v>344</v>
      </c>
      <c r="B267" s="53"/>
      <c r="C267" s="53"/>
      <c r="D267" s="53"/>
      <c r="E267" s="53"/>
      <c r="F267" s="53"/>
      <c r="G267" s="53"/>
      <c r="H267" s="53"/>
    </row>
    <row r="268" spans="1:8" x14ac:dyDescent="0.3">
      <c r="A268" s="53" t="s">
        <v>326</v>
      </c>
      <c r="B268" s="53"/>
      <c r="C268" s="53"/>
      <c r="D268" s="53"/>
      <c r="E268" s="53"/>
      <c r="F268" s="53"/>
      <c r="G268" s="53"/>
      <c r="H268" s="53"/>
    </row>
    <row r="269" spans="1:8" x14ac:dyDescent="0.3">
      <c r="A269" s="53" t="s">
        <v>216</v>
      </c>
      <c r="B269" s="53"/>
      <c r="C269" s="53"/>
      <c r="D269" s="53"/>
      <c r="E269" s="53"/>
      <c r="F269" s="53"/>
      <c r="G269" s="53"/>
      <c r="H269" s="53"/>
    </row>
    <row r="270" spans="1:8" x14ac:dyDescent="0.3">
      <c r="A270" s="53" t="s">
        <v>406</v>
      </c>
      <c r="B270" s="53"/>
      <c r="C270" s="53"/>
      <c r="D270" s="53"/>
      <c r="E270" s="53"/>
      <c r="F270" s="53"/>
      <c r="G270" s="53"/>
      <c r="H270" s="53"/>
    </row>
    <row r="271" spans="1:8" x14ac:dyDescent="0.3">
      <c r="A271" s="53" t="s">
        <v>218</v>
      </c>
      <c r="B271" s="53"/>
      <c r="C271" s="53"/>
      <c r="D271" s="53"/>
      <c r="E271" s="53"/>
      <c r="F271" s="53"/>
      <c r="G271" s="53"/>
      <c r="H271" s="53"/>
    </row>
    <row r="272" spans="1:8" x14ac:dyDescent="0.3">
      <c r="A272" s="53" t="s">
        <v>407</v>
      </c>
      <c r="B272" s="53"/>
      <c r="C272" s="53"/>
      <c r="D272" s="53"/>
      <c r="E272" s="53"/>
      <c r="F272" s="53"/>
      <c r="G272" s="53"/>
      <c r="H272" s="53"/>
    </row>
    <row r="273" spans="1:8" x14ac:dyDescent="0.3">
      <c r="A273" s="53" t="s">
        <v>277</v>
      </c>
      <c r="B273" s="53"/>
      <c r="C273" s="53"/>
      <c r="D273" s="53"/>
      <c r="E273" s="53"/>
      <c r="F273" s="53"/>
      <c r="G273" s="53"/>
      <c r="H273" s="53"/>
    </row>
    <row r="274" spans="1:8" x14ac:dyDescent="0.3">
      <c r="A274" s="53" t="s">
        <v>408</v>
      </c>
      <c r="B274" s="53"/>
      <c r="C274" s="53"/>
      <c r="D274" s="53"/>
      <c r="E274" s="53"/>
      <c r="F274" s="53"/>
      <c r="G274" s="53"/>
      <c r="H274" s="53"/>
    </row>
    <row r="275" spans="1:8" x14ac:dyDescent="0.3">
      <c r="A275" s="53" t="s">
        <v>247</v>
      </c>
      <c r="B275" s="53"/>
      <c r="C275" s="53"/>
      <c r="D275" s="53"/>
      <c r="E275" s="53"/>
      <c r="F275" s="53"/>
      <c r="G275" s="53"/>
      <c r="H275" s="53"/>
    </row>
    <row r="276" spans="1:8" x14ac:dyDescent="0.3">
      <c r="A276" s="53" t="s">
        <v>326</v>
      </c>
      <c r="B276" s="53"/>
      <c r="C276" s="53"/>
      <c r="D276" s="53"/>
      <c r="E276" s="53"/>
      <c r="F276" s="53"/>
      <c r="G276" s="53"/>
      <c r="H276" s="53"/>
    </row>
    <row r="277" spans="1:8" x14ac:dyDescent="0.3">
      <c r="A277" s="53" t="s">
        <v>216</v>
      </c>
      <c r="B277" s="53"/>
      <c r="C277" s="53"/>
      <c r="D277" s="53"/>
      <c r="E277" s="53"/>
      <c r="F277" s="53"/>
      <c r="G277" s="53"/>
      <c r="H277" s="53"/>
    </row>
    <row r="278" spans="1:8" x14ac:dyDescent="0.3">
      <c r="A278" s="53" t="s">
        <v>409</v>
      </c>
      <c r="B278" s="53"/>
      <c r="C278" s="53"/>
      <c r="D278" s="53"/>
      <c r="E278" s="53"/>
      <c r="F278" s="53"/>
      <c r="G278" s="53"/>
      <c r="H278" s="53"/>
    </row>
    <row r="279" spans="1:8" x14ac:dyDescent="0.3">
      <c r="A279" s="53" t="s">
        <v>218</v>
      </c>
      <c r="B279" s="53"/>
      <c r="C279" s="53"/>
      <c r="D279" s="53"/>
      <c r="E279" s="53"/>
      <c r="F279" s="53"/>
      <c r="G279" s="53"/>
      <c r="H279" s="53"/>
    </row>
    <row r="280" spans="1:8" x14ac:dyDescent="0.3">
      <c r="A280" s="53" t="s">
        <v>410</v>
      </c>
      <c r="B280" s="53"/>
      <c r="C280" s="53"/>
      <c r="D280" s="53"/>
      <c r="E280" s="53"/>
      <c r="F280" s="53"/>
      <c r="G280" s="53"/>
      <c r="H280" s="53"/>
    </row>
    <row r="281" spans="1:8" x14ac:dyDescent="0.3">
      <c r="A281" s="53" t="s">
        <v>407</v>
      </c>
      <c r="B281" s="53"/>
      <c r="C281" s="53"/>
      <c r="D281" s="53"/>
      <c r="E281" s="53"/>
      <c r="F281" s="53"/>
      <c r="G281" s="53"/>
      <c r="H281" s="53"/>
    </row>
    <row r="282" spans="1:8" x14ac:dyDescent="0.3">
      <c r="A282" s="53" t="s">
        <v>277</v>
      </c>
      <c r="B282" s="53"/>
      <c r="C282" s="53"/>
      <c r="D282" s="53"/>
      <c r="E282" s="53"/>
      <c r="F282" s="53"/>
      <c r="G282" s="53"/>
      <c r="H282" s="53"/>
    </row>
    <row r="283" spans="1:8" x14ac:dyDescent="0.3">
      <c r="A283" s="53" t="s">
        <v>408</v>
      </c>
      <c r="B283" s="53"/>
      <c r="C283" s="53"/>
      <c r="D283" s="53"/>
      <c r="E283" s="53"/>
      <c r="F283" s="53"/>
      <c r="G283" s="53"/>
      <c r="H283" s="53"/>
    </row>
    <row r="284" spans="1:8" x14ac:dyDescent="0.3">
      <c r="A284" s="53" t="s">
        <v>247</v>
      </c>
      <c r="B284" s="53"/>
      <c r="C284" s="53"/>
      <c r="D284" s="53"/>
      <c r="E284" s="53"/>
      <c r="F284" s="53"/>
      <c r="G284" s="53"/>
      <c r="H284" s="53"/>
    </row>
    <row r="285" spans="1:8" x14ac:dyDescent="0.3">
      <c r="A285" s="53" t="s">
        <v>411</v>
      </c>
      <c r="B285" s="53"/>
      <c r="C285" s="53"/>
      <c r="D285" s="53"/>
      <c r="E285" s="53"/>
      <c r="F285" s="53"/>
      <c r="G285" s="53"/>
      <c r="H285" s="53"/>
    </row>
    <row r="286" spans="1:8" x14ac:dyDescent="0.3">
      <c r="A286" s="53" t="s">
        <v>412</v>
      </c>
      <c r="B286" s="53"/>
      <c r="C286" s="53"/>
      <c r="D286" s="53"/>
      <c r="E286" s="53"/>
      <c r="F286" s="53"/>
      <c r="G286" s="53"/>
      <c r="H286" s="53"/>
    </row>
    <row r="287" spans="1:8" x14ac:dyDescent="0.3">
      <c r="A287" s="53" t="s">
        <v>413</v>
      </c>
      <c r="B287" s="53"/>
      <c r="C287" s="53"/>
      <c r="D287" s="53"/>
      <c r="E287" s="53"/>
      <c r="F287" s="53"/>
      <c r="G287" s="53"/>
      <c r="H287" s="53"/>
    </row>
    <row r="288" spans="1:8" x14ac:dyDescent="0.3">
      <c r="A288" s="53" t="s">
        <v>247</v>
      </c>
      <c r="B288" s="53"/>
      <c r="C288" s="53"/>
      <c r="D288" s="53"/>
      <c r="E288" s="53"/>
      <c r="F288" s="53"/>
      <c r="G288" s="53"/>
      <c r="H288" s="53"/>
    </row>
    <row r="289" spans="1:8" x14ac:dyDescent="0.3">
      <c r="A289" s="53" t="s">
        <v>414</v>
      </c>
      <c r="B289" s="53"/>
      <c r="C289" s="53"/>
      <c r="D289" s="53"/>
      <c r="E289" s="53"/>
      <c r="F289" s="53"/>
      <c r="G289" s="53"/>
      <c r="H289" s="53"/>
    </row>
    <row r="290" spans="1:8" x14ac:dyDescent="0.3">
      <c r="A290" s="53" t="s">
        <v>326</v>
      </c>
      <c r="B290" s="53"/>
      <c r="C290" s="53"/>
      <c r="D290" s="53"/>
      <c r="E290" s="53"/>
      <c r="F290" s="53"/>
      <c r="G290" s="53"/>
      <c r="H290" s="53"/>
    </row>
    <row r="291" spans="1:8" x14ac:dyDescent="0.3">
      <c r="A291" s="53" t="s">
        <v>216</v>
      </c>
      <c r="B291" s="53"/>
      <c r="C291" s="53"/>
      <c r="D291" s="53"/>
      <c r="E291" s="53"/>
      <c r="F291" s="53"/>
      <c r="G291" s="53"/>
      <c r="H291" s="53"/>
    </row>
  </sheetData>
  <mergeCells count="289">
    <mergeCell ref="A291:H291"/>
    <mergeCell ref="A282:H282"/>
    <mergeCell ref="A283:H283"/>
    <mergeCell ref="A284:H284"/>
    <mergeCell ref="A285:H285"/>
    <mergeCell ref="A286:H286"/>
    <mergeCell ref="A287:H287"/>
    <mergeCell ref="A288:H288"/>
    <mergeCell ref="A289:H289"/>
    <mergeCell ref="A290:H290"/>
    <mergeCell ref="A273:H273"/>
    <mergeCell ref="A274:H274"/>
    <mergeCell ref="A275:H275"/>
    <mergeCell ref="A276:H276"/>
    <mergeCell ref="A277:H277"/>
    <mergeCell ref="A278:H278"/>
    <mergeCell ref="A279:H279"/>
    <mergeCell ref="A280:H280"/>
    <mergeCell ref="A281:H281"/>
    <mergeCell ref="A264:H264"/>
    <mergeCell ref="A265:H265"/>
    <mergeCell ref="A266:H266"/>
    <mergeCell ref="A267:H267"/>
    <mergeCell ref="A268:H268"/>
    <mergeCell ref="A269:H269"/>
    <mergeCell ref="A270:H270"/>
    <mergeCell ref="A271:H271"/>
    <mergeCell ref="A272:H272"/>
    <mergeCell ref="A255:H255"/>
    <mergeCell ref="A256:H256"/>
    <mergeCell ref="A257:H257"/>
    <mergeCell ref="A258:H258"/>
    <mergeCell ref="A259:H259"/>
    <mergeCell ref="A260:H260"/>
    <mergeCell ref="A261:H261"/>
    <mergeCell ref="A262:H262"/>
    <mergeCell ref="A263:H263"/>
    <mergeCell ref="A246:H246"/>
    <mergeCell ref="A247:H247"/>
    <mergeCell ref="A248:H248"/>
    <mergeCell ref="A249:H249"/>
    <mergeCell ref="A250:H250"/>
    <mergeCell ref="A251:H251"/>
    <mergeCell ref="A252:H252"/>
    <mergeCell ref="A253:H253"/>
    <mergeCell ref="A254:H254"/>
    <mergeCell ref="A237:H237"/>
    <mergeCell ref="A238:H238"/>
    <mergeCell ref="A239:H239"/>
    <mergeCell ref="A240:H240"/>
    <mergeCell ref="A241:H241"/>
    <mergeCell ref="A242:H242"/>
    <mergeCell ref="A243:H243"/>
    <mergeCell ref="A244:H244"/>
    <mergeCell ref="A245:H245"/>
    <mergeCell ref="A228:H228"/>
    <mergeCell ref="A229:H229"/>
    <mergeCell ref="A230:H230"/>
    <mergeCell ref="A231:H231"/>
    <mergeCell ref="A232:H232"/>
    <mergeCell ref="A233:H233"/>
    <mergeCell ref="A234:H234"/>
    <mergeCell ref="A235:H235"/>
    <mergeCell ref="A236:H236"/>
    <mergeCell ref="A219:H219"/>
    <mergeCell ref="A220:H220"/>
    <mergeCell ref="A221:H221"/>
    <mergeCell ref="A222:H222"/>
    <mergeCell ref="A223:H223"/>
    <mergeCell ref="A224:H224"/>
    <mergeCell ref="A225:H225"/>
    <mergeCell ref="A226:H226"/>
    <mergeCell ref="A227:H227"/>
    <mergeCell ref="A210:H210"/>
    <mergeCell ref="A211:H211"/>
    <mergeCell ref="A212:H212"/>
    <mergeCell ref="A213:H213"/>
    <mergeCell ref="A214:H214"/>
    <mergeCell ref="A215:H215"/>
    <mergeCell ref="A216:H216"/>
    <mergeCell ref="A217:H217"/>
    <mergeCell ref="A218:H218"/>
    <mergeCell ref="A201:H201"/>
    <mergeCell ref="A202:H202"/>
    <mergeCell ref="A203:H203"/>
    <mergeCell ref="A204:H204"/>
    <mergeCell ref="A205:H205"/>
    <mergeCell ref="A206:H206"/>
    <mergeCell ref="A207:H207"/>
    <mergeCell ref="A208:H208"/>
    <mergeCell ref="A209:H209"/>
    <mergeCell ref="A192:H192"/>
    <mergeCell ref="A193:H193"/>
    <mergeCell ref="A194:H194"/>
    <mergeCell ref="A195:H195"/>
    <mergeCell ref="A196:H196"/>
    <mergeCell ref="A197:H197"/>
    <mergeCell ref="A198:H198"/>
    <mergeCell ref="A199:H199"/>
    <mergeCell ref="A200:H200"/>
    <mergeCell ref="A183:H183"/>
    <mergeCell ref="A184:H184"/>
    <mergeCell ref="A185:H185"/>
    <mergeCell ref="A186:H186"/>
    <mergeCell ref="A187:H187"/>
    <mergeCell ref="A188:H188"/>
    <mergeCell ref="A189:H189"/>
    <mergeCell ref="A190:H190"/>
    <mergeCell ref="A191:H191"/>
    <mergeCell ref="A174:H174"/>
    <mergeCell ref="A175:H175"/>
    <mergeCell ref="A176:H176"/>
    <mergeCell ref="A177:H177"/>
    <mergeCell ref="A178:H178"/>
    <mergeCell ref="A179:H179"/>
    <mergeCell ref="A180:H180"/>
    <mergeCell ref="A181:H181"/>
    <mergeCell ref="A182:H182"/>
    <mergeCell ref="A165:H165"/>
    <mergeCell ref="A166:H166"/>
    <mergeCell ref="A167:H167"/>
    <mergeCell ref="A168:H168"/>
    <mergeCell ref="A169:H169"/>
    <mergeCell ref="A170:H170"/>
    <mergeCell ref="A171:H171"/>
    <mergeCell ref="A172:H172"/>
    <mergeCell ref="A173:H173"/>
    <mergeCell ref="A156:H156"/>
    <mergeCell ref="A157:H157"/>
    <mergeCell ref="A158:H158"/>
    <mergeCell ref="A159:H159"/>
    <mergeCell ref="A160:H160"/>
    <mergeCell ref="A161:H161"/>
    <mergeCell ref="A162:H162"/>
    <mergeCell ref="A163:H163"/>
    <mergeCell ref="A164:H164"/>
    <mergeCell ref="A147:H147"/>
    <mergeCell ref="A148:H148"/>
    <mergeCell ref="A149:H149"/>
    <mergeCell ref="A150:H150"/>
    <mergeCell ref="A151:H151"/>
    <mergeCell ref="A152:H152"/>
    <mergeCell ref="A153:H153"/>
    <mergeCell ref="A154:H154"/>
    <mergeCell ref="A155:H155"/>
    <mergeCell ref="A138:H138"/>
    <mergeCell ref="A139:H139"/>
    <mergeCell ref="A140:H140"/>
    <mergeCell ref="A141:H141"/>
    <mergeCell ref="A142:H142"/>
    <mergeCell ref="A143:H143"/>
    <mergeCell ref="A144:H144"/>
    <mergeCell ref="A145:H145"/>
    <mergeCell ref="A146:H146"/>
    <mergeCell ref="A129:H129"/>
    <mergeCell ref="A130:H130"/>
    <mergeCell ref="A131:H131"/>
    <mergeCell ref="A132:H132"/>
    <mergeCell ref="A133:H133"/>
    <mergeCell ref="A134:H134"/>
    <mergeCell ref="A135:H135"/>
    <mergeCell ref="A136:H136"/>
    <mergeCell ref="A137:H137"/>
    <mergeCell ref="A120:H120"/>
    <mergeCell ref="A121:H121"/>
    <mergeCell ref="A122:H122"/>
    <mergeCell ref="A123:H123"/>
    <mergeCell ref="A124:H124"/>
    <mergeCell ref="A125:H125"/>
    <mergeCell ref="A126:H126"/>
    <mergeCell ref="A127:H127"/>
    <mergeCell ref="A128:H128"/>
    <mergeCell ref="A111:H111"/>
    <mergeCell ref="A112:H112"/>
    <mergeCell ref="A113:H113"/>
    <mergeCell ref="A114:H114"/>
    <mergeCell ref="A115:H115"/>
    <mergeCell ref="A116:H116"/>
    <mergeCell ref="A117:H117"/>
    <mergeCell ref="A118:H118"/>
    <mergeCell ref="A119:H119"/>
    <mergeCell ref="A102:H102"/>
    <mergeCell ref="A103:H103"/>
    <mergeCell ref="A104:H104"/>
    <mergeCell ref="A105:H105"/>
    <mergeCell ref="A106:H106"/>
    <mergeCell ref="A107:H107"/>
    <mergeCell ref="A108:H108"/>
    <mergeCell ref="A109:H109"/>
    <mergeCell ref="A110:H110"/>
    <mergeCell ref="A93:H93"/>
    <mergeCell ref="A94:H94"/>
    <mergeCell ref="A95:H95"/>
    <mergeCell ref="A96:H96"/>
    <mergeCell ref="A97:H97"/>
    <mergeCell ref="A98:H98"/>
    <mergeCell ref="A99:H99"/>
    <mergeCell ref="A100:H100"/>
    <mergeCell ref="A101:H101"/>
    <mergeCell ref="A84:H84"/>
    <mergeCell ref="A85:H85"/>
    <mergeCell ref="A86:H86"/>
    <mergeCell ref="A87:H87"/>
    <mergeCell ref="A88:H88"/>
    <mergeCell ref="A89:H89"/>
    <mergeCell ref="A90:H90"/>
    <mergeCell ref="A91:H91"/>
    <mergeCell ref="A92:H92"/>
    <mergeCell ref="A75:H75"/>
    <mergeCell ref="A76:H76"/>
    <mergeCell ref="A77:H77"/>
    <mergeCell ref="A78:H78"/>
    <mergeCell ref="A79:H79"/>
    <mergeCell ref="A80:H80"/>
    <mergeCell ref="A81:H81"/>
    <mergeCell ref="A82:H82"/>
    <mergeCell ref="A83:H83"/>
    <mergeCell ref="A66:H66"/>
    <mergeCell ref="A67:H67"/>
    <mergeCell ref="A68:H68"/>
    <mergeCell ref="A69:H69"/>
    <mergeCell ref="A70:H70"/>
    <mergeCell ref="A71:H71"/>
    <mergeCell ref="A72:H72"/>
    <mergeCell ref="A73:H73"/>
    <mergeCell ref="A74:H74"/>
    <mergeCell ref="A57:H57"/>
    <mergeCell ref="A58:H58"/>
    <mergeCell ref="A59:H59"/>
    <mergeCell ref="A60:H60"/>
    <mergeCell ref="A61:H61"/>
    <mergeCell ref="A62:H62"/>
    <mergeCell ref="A63:H63"/>
    <mergeCell ref="A64:H64"/>
    <mergeCell ref="A65:H65"/>
    <mergeCell ref="A48:H48"/>
    <mergeCell ref="A49:H49"/>
    <mergeCell ref="A50:H50"/>
    <mergeCell ref="A51:H51"/>
    <mergeCell ref="A52:H52"/>
    <mergeCell ref="A53:H53"/>
    <mergeCell ref="A54:H54"/>
    <mergeCell ref="A55:H55"/>
    <mergeCell ref="A56:H56"/>
    <mergeCell ref="A39:H39"/>
    <mergeCell ref="A40:H40"/>
    <mergeCell ref="A41:H41"/>
    <mergeCell ref="A42:H42"/>
    <mergeCell ref="A43:H43"/>
    <mergeCell ref="A44:H44"/>
    <mergeCell ref="A45:H45"/>
    <mergeCell ref="A46:H46"/>
    <mergeCell ref="A47:H47"/>
    <mergeCell ref="A30:H30"/>
    <mergeCell ref="A31:H31"/>
    <mergeCell ref="A32:H32"/>
    <mergeCell ref="A33:H33"/>
    <mergeCell ref="A34:H34"/>
    <mergeCell ref="A35:H35"/>
    <mergeCell ref="A36:H36"/>
    <mergeCell ref="A37:H37"/>
    <mergeCell ref="A38:H38"/>
    <mergeCell ref="A21:H21"/>
    <mergeCell ref="A22:H22"/>
    <mergeCell ref="A23:H23"/>
    <mergeCell ref="A24:H24"/>
    <mergeCell ref="A25:H25"/>
    <mergeCell ref="A26:H26"/>
    <mergeCell ref="A27:H27"/>
    <mergeCell ref="A28:H28"/>
    <mergeCell ref="A29:H29"/>
    <mergeCell ref="A11:H11"/>
    <mergeCell ref="A12:H12"/>
    <mergeCell ref="A13:H13"/>
    <mergeCell ref="A15:H15"/>
    <mergeCell ref="A16:H16"/>
    <mergeCell ref="A17:H17"/>
    <mergeCell ref="A18:H18"/>
    <mergeCell ref="A19:H19"/>
    <mergeCell ref="A20:H20"/>
    <mergeCell ref="A1:H1"/>
    <mergeCell ref="A3:H3"/>
    <mergeCell ref="A4:H4"/>
    <mergeCell ref="A5:H5"/>
    <mergeCell ref="A6:H6"/>
    <mergeCell ref="A7:H7"/>
    <mergeCell ref="A8:H8"/>
    <mergeCell ref="A9:H9"/>
    <mergeCell ref="A10:H1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Planner</vt:lpstr>
      <vt:lpstr>Manifest</vt:lpstr>
      <vt:lpstr>How to Use</vt:lpstr>
      <vt:lpstr>Pattern Library</vt:lpstr>
      <vt:lpstr>Auto-Solve (VBA)</vt:lpstr>
      <vt:lpstr>Manifest!Print_Area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Ken Paine</cp:lastModifiedBy>
  <cp:revision>0</cp:revision>
  <dcterms:created xsi:type="dcterms:W3CDTF">2026-06-14T02:17:16Z</dcterms:created>
  <dcterms:modified xsi:type="dcterms:W3CDTF">2026-06-15T21:32:34Z</dcterms:modified>
  <dc:language>en-US</dc:language>
</cp:coreProperties>
</file>