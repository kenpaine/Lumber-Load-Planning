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er" sheetId="1" state="visible" r:id="rId3"/>
    <sheet name="Manifest" sheetId="2" state="visible" r:id="rId4"/>
    <sheet name="Pattern Library" sheetId="3" state="visible" r:id="rId5"/>
    <sheet name="Auto-Solve (VBA)" sheetId="4" state="visible" r:id="rId6"/>
  </sheets>
  <definedNames>
    <definedName function="false" hidden="false" localSheetId="1" name="_xlnm.Print_Area" vbProcedure="false">Manifest!$A$1:$L$73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<sst xmlns="http://schemas.openxmlformats.org/spreadsheetml/2006/main" count="650" uniqueCount="420">
  <si>
    <t xml:space="preserve">CENTERBEAM LUMBER CAR LAYOUT PLANNER  —  72 ft</t>
  </si>
  <si>
    <t xml:space="preserve">Inventory is a line-item tally: each line = Product + Length + Grade + Packs. Cell FILL = product, BORDER = grade. Each car row totals exactly 72 ft. Example loaded.</t>
  </si>
  <si>
    <t xml:space="preserve">CONFIGURATION</t>
  </si>
  <si>
    <t xml:space="preserve">Number of Rows:</t>
  </si>
  <si>
    <t xml:space="preserve">Row Capacity (ft):</t>
  </si>
  <si>
    <t xml:space="preserve">LUMBER INVENTORY  —  line-item tally (Product × Length × Grade)</t>
  </si>
  <si>
    <t xml:space="preserve">#</t>
  </si>
  <si>
    <t xml:space="preserve">Product</t>
  </si>
  <si>
    <t xml:space="preserve">Length</t>
  </si>
  <si>
    <t xml:space="preserve">Grade</t>
  </si>
  <si>
    <t xml:space="preserve">Packs</t>
  </si>
  <si>
    <t xml:space="preserve">Lineal</t>
  </si>
  <si>
    <t xml:space="preserve">Placed</t>
  </si>
  <si>
    <t xml:space="preserve">Remain</t>
  </si>
  <si>
    <t xml:space="preserve">LOAD STATUS</t>
  </si>
  <si>
    <t xml:space="preserve">2x4</t>
  </si>
  <si>
    <t xml:space="preserve">2</t>
  </si>
  <si>
    <t xml:space="preserve">Total Lineal Ft:</t>
  </si>
  <si>
    <t xml:space="preserve">2x6</t>
  </si>
  <si>
    <t xml:space="preserve">Car Capacity (ft):</t>
  </si>
  <si>
    <t xml:space="preserve">Difference:</t>
  </si>
  <si>
    <t xml:space="preserve">2x8</t>
  </si>
  <si>
    <t xml:space="preserve">MSR</t>
  </si>
  <si>
    <t xml:space="preserve">Rows Needed:</t>
  </si>
  <si>
    <t xml:space="preserve">1</t>
  </si>
  <si>
    <t xml:space="preserve">Rows OK (=72):</t>
  </si>
  <si>
    <t xml:space="preserve">Packs Placed:</t>
  </si>
  <si>
    <t xml:space="preserve">Packs Unplaced:</t>
  </si>
  <si>
    <t xml:space="preserve">STATUS:</t>
  </si>
  <si>
    <t xml:space="preserve">TOTAL</t>
  </si>
  <si>
    <t xml:space="preserve">LAYOUT GRID  —  product-length-grade per slot;  each row = exactly 72 ft</t>
  </si>
  <si>
    <t xml:space="preserve">Row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</si>
  <si>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</si>
  <si>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</si>
  <si>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</si>
  <si>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</si>
  <si>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</si>
  <si>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</si>
  <si>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</si>
  <si>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</si>
  <si>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</si>
  <si>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Total</t>
  </si>
  <si>
    <t xml:space="preserve">Check</t>
  </si>
  <si>
    <t xml:space="preserve">R1</t>
  </si>
  <si>
    <t xml:space="preserve">2x4-16-2</t>
  </si>
  <si>
    <t xml:space="preserve">2x6-14-2</t>
  </si>
  <si>
    <t xml:space="preserve">R2</t>
  </si>
  <si>
    <t xml:space="preserve">R3</t>
  </si>
  <si>
    <t xml:space="preserve">2x6-16-2</t>
  </si>
  <si>
    <t xml:space="preserve">R4</t>
  </si>
  <si>
    <t xml:space="preserve">2x8-14-MSR</t>
  </si>
  <si>
    <t xml:space="preserve">R5</t>
  </si>
  <si>
    <t xml:space="preserve">R6</t>
  </si>
  <si>
    <t xml:space="preserve">2x4-12-1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</si>
  <si>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</si>
  <si>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</si>
  <si>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</si>
  <si>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</si>
  <si>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</si>
  <si>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</si>
  <si>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</si>
  <si>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</si>
  <si>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LENGTH (fill):</t>
  </si>
  <si>
    <t xml:space="preserve">8'</t>
  </si>
  <si>
    <t xml:space="preserve">10'</t>
  </si>
  <si>
    <t xml:space="preserve">12'</t>
  </si>
  <si>
    <t xml:space="preserve">14'</t>
  </si>
  <si>
    <t xml:space="preserve">16'</t>
  </si>
  <si>
    <t xml:space="preserve">18'</t>
  </si>
  <si>
    <t xml:space="preserve">20'</t>
  </si>
  <si>
    <t xml:space="preserve">PRODUCT (border):</t>
  </si>
  <si>
    <t xml:space="preserve">2x10</t>
  </si>
  <si>
    <t xml:space="preserve">4x4</t>
  </si>
  <si>
    <t xml:space="preserve">4x6</t>
  </si>
  <si>
    <t xml:space="preserve">6x6</t>
  </si>
  <si>
    <t xml:space="preserve">GRADE (text color):</t>
  </si>
  <si>
    <t xml:space="preserve">3</t>
  </si>
  <si>
    <t xml:space="preserve">4</t>
  </si>
  <si>
    <t xml:space="preserve">2P</t>
  </si>
  <si>
    <t xml:space="preserve">START OVER: clear grid (B34:J47) and line items (B10:E29). One-click Solve/Clear: see 'Auto-Solve (VBA)'.</t>
  </si>
  <si>
    <t xml:space="preserve">LOAD MANIFEST</t>
  </si>
  <si>
    <t xml:space="preserve">Car layout mirrors the Planner. Cell FILL = product, BORDER = grade. Differentiated by product, length, and grade below.</t>
  </si>
  <si>
    <t xml:space="preserve">Car Type:</t>
  </si>
  <si>
    <t xml:space="preserve">Centerbeam 72 ft</t>
  </si>
  <si>
    <t xml:space="preserve">Rows:</t>
  </si>
  <si>
    <t xml:space="preserve">Date:</t>
  </si>
  <si>
    <t xml:space="preserve">Notes:</t>
  </si>
  <si>
    <t xml:space="preserve">(car #, shipper, instructions)</t>
  </si>
  <si>
    <t xml:space="preserve">GRADE (text):</t>
  </si>
  <si>
    <t xml:space="preserve">CAR LAYOUT (as loaded)  —  each row = 72 ft, loaded left→right from the center beam</t>
  </si>
  <si>
    <t xml:space="preserve">Status</t>
  </si>
  <si>
    <t xml:space="preserve">SUMMARY BY PRODUCT</t>
  </si>
  <si>
    <t xml:space="preserve">SUMMARY BY GRADE</t>
  </si>
  <si>
    <t xml:space="preserve">Placed Packs</t>
  </si>
  <si>
    <t xml:space="preserve">Lineal Ft</t>
  </si>
  <si>
    <t xml:space="preserve">PLACED PACKS — product × grade</t>
  </si>
  <si>
    <t xml:space="preserve">Prod\Grd</t>
  </si>
  <si>
    <t xml:space="preserve">PICK LIST — packs to pull for this car (auto-generated from the layout)</t>
  </si>
  <si>
    <t xml:space="preserve">Packs to Pick</t>
  </si>
  <si>
    <t xml:space="preserve">VALID 72-FT LENGTH PATTERNS</t>
  </si>
  <si>
    <t xml:space="preserve">Every length combination summing to 72 ft, color-coded by length. The 72-ft fit depends only on lengths; product &amp; grade ride along on each pack.</t>
  </si>
  <si>
    <t xml:space="preserve">Lengths (ft)</t>
  </si>
  <si>
    <t xml:space="preserve">20 20 20 12</t>
  </si>
  <si>
    <t xml:space="preserve">20 20 18 14</t>
  </si>
  <si>
    <t xml:space="preserve">20 20 16 16</t>
  </si>
  <si>
    <t xml:space="preserve">20 18 18 16</t>
  </si>
  <si>
    <t xml:space="preserve">18 18 18 18</t>
  </si>
  <si>
    <t xml:space="preserve">20 20 16 8 8</t>
  </si>
  <si>
    <t xml:space="preserve">20 20 14 10 8</t>
  </si>
  <si>
    <t xml:space="preserve">20 20 12 12 8</t>
  </si>
  <si>
    <t xml:space="preserve">20 20 12 10 10</t>
  </si>
  <si>
    <t xml:space="preserve">20 18 18 8 8</t>
  </si>
  <si>
    <t xml:space="preserve">20 18 16 10 8</t>
  </si>
  <si>
    <t xml:space="preserve">20 18 14 12 8</t>
  </si>
  <si>
    <t xml:space="preserve">20 18 14 10 10</t>
  </si>
  <si>
    <t xml:space="preserve">20 18 12 12 10</t>
  </si>
  <si>
    <t xml:space="preserve">20 16 16 12 8</t>
  </si>
  <si>
    <t xml:space="preserve">20 16 16 10 10</t>
  </si>
  <si>
    <t xml:space="preserve">20 16 14 14 8</t>
  </si>
  <si>
    <t xml:space="preserve">20 16 14 12 10</t>
  </si>
  <si>
    <t xml:space="preserve">20 16 12 12 12</t>
  </si>
  <si>
    <t xml:space="preserve">20 14 14 14 10</t>
  </si>
  <si>
    <t xml:space="preserve">20 14 14 12 12</t>
  </si>
  <si>
    <t xml:space="preserve">18 18 18 10 8</t>
  </si>
  <si>
    <t xml:space="preserve">18 18 16 12 8</t>
  </si>
  <si>
    <t xml:space="preserve">18 18 16 10 10</t>
  </si>
  <si>
    <t xml:space="preserve">18 18 14 14 8</t>
  </si>
  <si>
    <t xml:space="preserve">18 18 14 12 10</t>
  </si>
  <si>
    <t xml:space="preserve">18 18 12 12 12</t>
  </si>
  <si>
    <t xml:space="preserve">18 16 16 14 8</t>
  </si>
  <si>
    <t xml:space="preserve">18 16 16 12 10</t>
  </si>
  <si>
    <t xml:space="preserve">18 16 14 14 10</t>
  </si>
  <si>
    <t xml:space="preserve">18 16 14 12 12</t>
  </si>
  <si>
    <t xml:space="preserve">18 14 14 14 12</t>
  </si>
  <si>
    <t xml:space="preserve">16 16 16 16 8</t>
  </si>
  <si>
    <t xml:space="preserve">16 16 16 14 10</t>
  </si>
  <si>
    <t xml:space="preserve">16 16 16 12 12</t>
  </si>
  <si>
    <t xml:space="preserve">16 16 14 14 12</t>
  </si>
  <si>
    <t xml:space="preserve">16 14 14 14 14</t>
  </si>
  <si>
    <t xml:space="preserve">20 20 8 8 8 8</t>
  </si>
  <si>
    <t xml:space="preserve">20 18 10 8 8 8</t>
  </si>
  <si>
    <t xml:space="preserve">20 16 12 8 8 8</t>
  </si>
  <si>
    <t xml:space="preserve">20 16 10 10 8 8</t>
  </si>
  <si>
    <t xml:space="preserve">20 14 14 8 8 8</t>
  </si>
  <si>
    <t xml:space="preserve">20 14 12 10 8 8</t>
  </si>
  <si>
    <t xml:space="preserve">20 14 10 10 10 8</t>
  </si>
  <si>
    <t xml:space="preserve">20 12 12 12 8 8</t>
  </si>
  <si>
    <t xml:space="preserve">20 12 12 10 10 8</t>
  </si>
  <si>
    <t xml:space="preserve">20 12 10 10 10 10</t>
  </si>
  <si>
    <t xml:space="preserve">18 18 12 8 8 8</t>
  </si>
  <si>
    <t xml:space="preserve">18 18 10 10 8 8</t>
  </si>
  <si>
    <t xml:space="preserve">18 16 14 8 8 8</t>
  </si>
  <si>
    <t xml:space="preserve">18 16 12 10 8 8</t>
  </si>
  <si>
    <t xml:space="preserve">18 16 10 10 10 8</t>
  </si>
  <si>
    <t xml:space="preserve">18 14 14 10 8 8</t>
  </si>
  <si>
    <t xml:space="preserve">18 14 12 12 8 8</t>
  </si>
  <si>
    <t xml:space="preserve">18 14 12 10 10 8</t>
  </si>
  <si>
    <t xml:space="preserve">18 14 10 10 10 10</t>
  </si>
  <si>
    <t xml:space="preserve">18 12 12 12 10 8</t>
  </si>
  <si>
    <t xml:space="preserve">18 12 12 10 10 10</t>
  </si>
  <si>
    <t xml:space="preserve">16 16 16 8 8 8</t>
  </si>
  <si>
    <t xml:space="preserve">16 16 14 10 8 8</t>
  </si>
  <si>
    <t xml:space="preserve">16 16 12 12 8 8</t>
  </si>
  <si>
    <t xml:space="preserve">16 16 12 10 10 8</t>
  </si>
  <si>
    <t xml:space="preserve">16 16 10 10 10 10</t>
  </si>
  <si>
    <t xml:space="preserve">16 14 14 12 8 8</t>
  </si>
  <si>
    <t xml:space="preserve">16 14 14 10 10 8</t>
  </si>
  <si>
    <t xml:space="preserve">16 14 12 12 10 8</t>
  </si>
  <si>
    <t xml:space="preserve">16 14 12 10 10 10</t>
  </si>
  <si>
    <t xml:space="preserve">16 12 12 12 12 8</t>
  </si>
  <si>
    <t xml:space="preserve">16 12 12 12 10 10</t>
  </si>
  <si>
    <t xml:space="preserve">14 14 14 14 8 8</t>
  </si>
  <si>
    <t xml:space="preserve">14 14 14 12 10 8</t>
  </si>
  <si>
    <t xml:space="preserve">14 14 14 10 10 10</t>
  </si>
  <si>
    <t xml:space="preserve">14 14 12 12 12 8</t>
  </si>
  <si>
    <t xml:space="preserve">14 14 12 12 10 10</t>
  </si>
  <si>
    <t xml:space="preserve">14 12 12 12 12 10</t>
  </si>
  <si>
    <t xml:space="preserve">12 12 12 12 12 12</t>
  </si>
  <si>
    <t xml:space="preserve">20 12 8 8 8 8 8</t>
  </si>
  <si>
    <t xml:space="preserve">20 10 10 8 8 8 8</t>
  </si>
  <si>
    <t xml:space="preserve">18 14 8 8 8 8 8</t>
  </si>
  <si>
    <t xml:space="preserve">18 12 10 8 8 8 8</t>
  </si>
  <si>
    <t xml:space="preserve">18 10 10 10 8 8 8</t>
  </si>
  <si>
    <t xml:space="preserve">16 16 8 8 8 8 8</t>
  </si>
  <si>
    <t xml:space="preserve">16 14 10 8 8 8 8</t>
  </si>
  <si>
    <t xml:space="preserve">16 12 12 8 8 8 8</t>
  </si>
  <si>
    <t xml:space="preserve">16 12 10 10 8 8 8</t>
  </si>
  <si>
    <t xml:space="preserve">16 10 10 10 10 8 8</t>
  </si>
  <si>
    <t xml:space="preserve">14 14 12 8 8 8 8</t>
  </si>
  <si>
    <t xml:space="preserve">14 14 10 10 8 8 8</t>
  </si>
  <si>
    <t xml:space="preserve">14 12 12 10 8 8 8</t>
  </si>
  <si>
    <t xml:space="preserve">14 12 10 10 10 8 8</t>
  </si>
  <si>
    <t xml:space="preserve">14 10 10 10 10 10 8</t>
  </si>
  <si>
    <t xml:space="preserve">12 12 12 12 8 8 8</t>
  </si>
  <si>
    <t xml:space="preserve">12 12 12 10 10 8 8</t>
  </si>
  <si>
    <t xml:space="preserve">12 12 10 10 10 10 8</t>
  </si>
  <si>
    <t xml:space="preserve">12 10 10 10 10 10 10</t>
  </si>
  <si>
    <t xml:space="preserve">16 8 8 8 8 8 8 8</t>
  </si>
  <si>
    <t xml:space="preserve">14 10 8 8 8 8 8 8</t>
  </si>
  <si>
    <t xml:space="preserve">12 12 8 8 8 8 8 8</t>
  </si>
  <si>
    <t xml:space="preserve">12 10 10 8 8 8 8 8</t>
  </si>
  <si>
    <t xml:space="preserve">10 10 10 10 8 8 8 8</t>
  </si>
  <si>
    <t xml:space="preserve">8 8 8 8 8 8 8 8 8</t>
  </si>
  <si>
    <t xml:space="preserve">Length colors:</t>
  </si>
  <si>
    <t xml:space="preserve">OPTIONAL: ONE-CLICK AUTO-SOLVER (VBA MACRO)</t>
  </si>
  <si>
    <t xml:space="preserve">The Planner works WITHOUT macros (a solved example is loaded). For one-click solving:</t>
  </si>
  <si>
    <t xml:space="preserve">  1.  Save As ▸ Excel Macro-Enabled Workbook (*.xlsm).</t>
  </si>
  <si>
    <t xml:space="preserve">  2.  Alt+F11 ▸ File ▸ Import File ▸ CenterbeamSolver.bas  (or Insert ▸ Module and paste the code below).</t>
  </si>
  <si>
    <t xml:space="preserve">  3.  Developer ▸ Insert ▸ Button (Form Control); assign 'SolveLayout'. Add a 2nd button ▸ 'ClearAll'.</t>
  </si>
  <si>
    <t xml:space="preserve">  4.  SOLVE reads the line-item inventory, fills every selected row to 72 ft, and assigns product+grade</t>
  </si>
  <si>
    <t xml:space="preserve">      grouped so like packs stack in columns.  CLEAR resets the grid + line items. ClearGrid clears grid only.</t>
  </si>
  <si>
    <t xml:space="preserve">  Cell fill = product, border = grade (see legends on the Planner &amp; Manifest).</t>
  </si>
  <si>
    <t xml:space="preserve">──────────────────────  VBA CODE — copy everything below  ──────────────────────</t>
  </si>
  <si>
    <t xml:space="preserve">Option Explicit</t>
  </si>
  <si>
    <t xml:space="preserve">' === Centerbeam 72-ft Auto-Solver (product + length + grade) ===</t>
  </si>
  <si>
    <t xml:space="preserve">Private Patterns As Collection</t>
  </si>
  <si>
    <t xml:space="preserve">Private Found As Boolean</t>
  </si>
  <si>
    <t xml:space="preserve">Private Chosen As Collection</t>
  </si>
  <si>
    <t xml:space="preserve">Private RemCount() As Long</t>
  </si>
  <si>
    <t xml:space="preserve">Private TypeLen() As Long</t>
  </si>
  <si>
    <t xml:space="preserve">Private NumTypes As Long</t>
  </si>
  <si>
    <t xml:space="preserve"> </t>
  </si>
  <si>
    <t xml:space="preserve">Sub SolveLayout()</t>
  </si>
  <si>
    <t xml:space="preserve">    Dim ws As Worksheet: Set ws = ThisWorkbook.Sheets("Planner")</t>
  </si>
  <si>
    <t xml:space="preserve">    Dim prods As Variant: prods = Array("2x4", "2x6", "2x8", "2x10", "4x4", "4x6", "6x6")</t>
  </si>
  <si>
    <t xml:space="preserve">    Dim grds As Variant:  grds = Array("1", "2", "3", "4", "2P", "MSR")</t>
  </si>
  <si>
    <t xml:space="preserve">    Dim lens As Variant:  lens = Array(8, 10, 12, 14, 16, 18, 20)</t>
  </si>
  <si>
    <t xml:space="preserve">    Const LIFIRST As Long = 10</t>
  </si>
  <si>
    <t xml:space="preserve">    Const LILAST As Long = 29</t>
  </si>
  <si>
    <t xml:space="preserve">    Const GRIDFIRST As Long = 34</t>
  </si>
  <si>
    <t xml:space="preserve">    Const SLOTS As Long = 9</t>
  </si>
  <si>
    <t xml:space="preserve">    Dim numRows As Long: numRows = ws.Range("C5").Value</t>
  </si>
  <si>
    <t xml:space="preserve">    Dim target As Long: target = ws.Range("C6").Value</t>
  </si>
  <si>
    <t xml:space="preserve">    ' --- read line items ---</t>
  </si>
  <si>
    <t xml:space="preserve">    Dim nItems As Long: nItems = 0</t>
  </si>
  <si>
    <t xml:space="preserve">    Dim itP() As String, itL() As Long, itG() As String, itQ() As Long</t>
  </si>
  <si>
    <t xml:space="preserve">    ReDim itP(1 To LILAST - LIFIRST + 1)</t>
  </si>
  <si>
    <t xml:space="preserve">    ReDim itL(1 To LILAST - LIFIRST + 1)</t>
  </si>
  <si>
    <t xml:space="preserve">    ReDim itG(1 To LILAST - LIFIRST + 1)</t>
  </si>
  <si>
    <t xml:space="preserve">    ReDim itQ(1 To LILAST - LIFIRST + 1)</t>
  </si>
  <si>
    <t xml:space="preserve">    Dim r As Long</t>
  </si>
  <si>
    <t xml:space="preserve">    For r = LIFIRST To LILAST</t>
  </si>
  <si>
    <t xml:space="preserve">        Dim pp As String: pp = Trim(CStr(ws.Cells(r, 2).Value))</t>
  </si>
  <si>
    <t xml:space="preserve">        Dim ll As Variant: ll = ws.Cells(r, 3).Value</t>
  </si>
  <si>
    <t xml:space="preserve">        Dim gg As String: gg = Trim(CStr(ws.Cells(r, 4).Value))</t>
  </si>
  <si>
    <t xml:space="preserve">        Dim qq As Variant: qq = ws.Cells(r, 5).Value</t>
  </si>
  <si>
    <t xml:space="preserve">        If pp &lt;&gt; "" And IsNumeric(ll) And IsNumeric(qq) Then</t>
  </si>
  <si>
    <t xml:space="preserve">            If CLng(qq) &gt; 0 Then</t>
  </si>
  <si>
    <t xml:space="preserve">                nItems = nItems + 1</t>
  </si>
  <si>
    <t xml:space="preserve">                itP(nItems) = pp: itL(nItems) = CLng(ll): itG(nItems) = gg: itQ(nItems) = CLng(qq)</t>
  </si>
  <si>
    <t xml:space="preserve">            End If</t>
  </si>
  <si>
    <t xml:space="preserve">        End If</t>
  </si>
  <si>
    <t xml:space="preserve">    Next r</t>
  </si>
  <si>
    <t xml:space="preserve">    If nItems = 0 Then MsgBox "Enter some line items first.": Exit Sub</t>
  </si>
  <si>
    <t xml:space="preserve">    ' --- length totals ---</t>
  </si>
  <si>
    <t xml:space="preserve">    Dim nl As Long: nl = UBound(lens) + 1</t>
  </si>
  <si>
    <t xml:space="preserve">    Dim lenTot() As Long: ReDim lenTot(0 To nl - 1)</t>
  </si>
  <si>
    <t xml:space="preserve">    Dim i As Long, li As Long, total As Long</t>
  </si>
  <si>
    <t xml:space="preserve">    For i = 1 To nItems</t>
  </si>
  <si>
    <t xml:space="preserve">        For li = 0 To nl - 1</t>
  </si>
  <si>
    <t xml:space="preserve">            If lens(li) = itL(i) Then lenTot(li) = lenTot(li) + itQ(i): total = total + itQ(i) * itL(i): Exit For</t>
  </si>
  <si>
    <t xml:space="preserve">        Next li</t>
  </si>
  <si>
    <t xml:space="preserve">    Next i</t>
  </si>
  <si>
    <t xml:space="preserve">    ' --- length types (descending) ---</t>
  </si>
  <si>
    <t xml:space="preserve">    NumTypes = 0</t>
  </si>
  <si>
    <t xml:space="preserve">    For li = 0 To nl - 1</t>
  </si>
  <si>
    <t xml:space="preserve">        If lenTot(li) &gt; 0 Then NumTypes = NumTypes + 1</t>
  </si>
  <si>
    <t xml:space="preserve">    Next li</t>
  </si>
  <si>
    <t xml:space="preserve">    ReDim TypeLen(0 To NumTypes - 1): ReDim RemCount(0 To NumTypes - 1)</t>
  </si>
  <si>
    <t xml:space="preserve">    Dim k As Long: k = 0</t>
  </si>
  <si>
    <t xml:space="preserve">    For li = nl - 1 To 0 Step -1</t>
  </si>
  <si>
    <t xml:space="preserve">        If lenTot(li) &gt; 0 Then TypeLen(k) = lens(li): RemCount(k) = lenTot(li): k = k + 1</t>
  </si>
  <si>
    <t xml:space="preserve">    ' --- solve length layout ---</t>
  </si>
  <si>
    <t xml:space="preserve">    Set Patterns = New Collection</t>
  </si>
  <si>
    <t xml:space="preserve">    EnumPatterns 0, target, ""</t>
  </si>
  <si>
    <t xml:space="preserve">    SortPatterns</t>
  </si>
  <si>
    <t xml:space="preserve">    Dim fillable As Long</t>
  </si>
  <si>
    <t xml:space="preserve">    If numRows &lt; Int(total / target) Then fillable = numRows Else fillable = Int(total / target)</t>
  </si>
  <si>
    <t xml:space="preserve">    Set Chosen = New Collection</t>
  </si>
  <si>
    <t xml:space="preserve">    Found = False</t>
  </si>
  <si>
    <t xml:space="preserve">    Solve 0, fillable, target</t>
  </si>
  <si>
    <t xml:space="preserve">    Dim s As Long</t>
  </si>
  <si>
    <t xml:space="preserve">    For r = 0 To 13</t>
  </si>
  <si>
    <t xml:space="preserve">        For s = 0 To SLOTS - 1: ws.Cells(GRIDFIRST + r, 2 + s).ClearContents: Next s</t>
  </si>
  <si>
    <t xml:space="preserve">    If Not Found Then MsgBox "No exact 72-ft solution exists for these lengths and row count.", vbExclamation: Exit Sub</t>
  </si>
  <si>
    <t xml:space="preserve">    ' --- order rows for column stacking ---</t>
  </si>
  <si>
    <t xml:space="preserve">    Dim nR As Long: nR = Chosen.Count</t>
  </si>
  <si>
    <t xml:space="preserve">    Dim ordered() As String: ReDim ordered(1 To nR)</t>
  </si>
  <si>
    <t xml:space="preserve">    For r = 1 To nR: ordered(r) = Chosen(r): Next r</t>
  </si>
  <si>
    <t xml:space="preserve">    Dim oa As Long, ob As Long, otmp As String</t>
  </si>
  <si>
    <t xml:space="preserve">    For oa = 1 To nR - 1</t>
  </si>
  <si>
    <t xml:space="preserve">        For ob = oa + 1 To nR</t>
  </si>
  <si>
    <t xml:space="preserve">            If CompareRows(ordered(ob), ordered(oa)) &lt; 0 Then otmp = ordered(oa): ordered(oa) = ordered(ob): ordered(ob) = otmp</t>
  </si>
  <si>
    <t xml:space="preserve">        Next ob</t>
  </si>
  <si>
    <t xml:space="preserve">    Next oa</t>
  </si>
  <si>
    <t xml:space="preserve">    ' --- build product+grade queue per length (grouped product order then grade order) ---</t>
  </si>
  <si>
    <t xml:space="preserve">    Dim maxQ As Long: maxQ = 0</t>
  </si>
  <si>
    <t xml:space="preserve">        If lenTot(li) &gt; maxQ Then maxQ = lenTot(li)</t>
  </si>
  <si>
    <t xml:space="preserve">    If maxQ &lt; 1 Then maxQ = 1</t>
  </si>
  <si>
    <t xml:space="preserve">    Dim qP() As String, qG() As String, qpos() As Long</t>
  </si>
  <si>
    <t xml:space="preserve">    ReDim qP(0 To nl - 1, 1 To maxQ): ReDim qG(0 To nl - 1, 1 To maxQ): ReDim qpos(0 To nl - 1)</t>
  </si>
  <si>
    <t xml:space="preserve">    Dim pix As Long, gix As Long, pos As Long, it As Long</t>
  </si>
  <si>
    <t xml:space="preserve">        pos = 0</t>
  </si>
  <si>
    <t xml:space="preserve">        For pix = 0 To UBound(prods)</t>
  </si>
  <si>
    <t xml:space="preserve">            For gix = 0 To UBound(grds)</t>
  </si>
  <si>
    <t xml:space="preserve">                For it = 1 To nItems</t>
  </si>
  <si>
    <t xml:space="preserve">                    If itL(it) = lens(li) And itP(it) = prods(pix) And itG(it) = grds(gix) Then</t>
  </si>
  <si>
    <t xml:space="preserve">                        Dim c As Long</t>
  </si>
  <si>
    <t xml:space="preserve">                        For c = 1 To itQ(it): pos = pos + 1: qP(li, pos) = prods(pix): qG(li, pos) = grds(gix): Next c</t>
  </si>
  <si>
    <t xml:space="preserve">                    End If</t>
  </si>
  <si>
    <t xml:space="preserve">                Next it</t>
  </si>
  <si>
    <t xml:space="preserve">            Next gix</t>
  </si>
  <si>
    <t xml:space="preserve">        Next pix</t>
  </si>
  <si>
    <t xml:space="preserve">        qpos(li) = 0</t>
  </si>
  <si>
    <t xml:space="preserve">    ' --- write rows ---</t>
  </si>
  <si>
    <t xml:space="preserve">    For r = 1 To nR</t>
  </si>
  <si>
    <t xml:space="preserve">        Dim arr() As String: arr = Split(Trim(ordered(r)), " ")</t>
  </si>
  <si>
    <t xml:space="preserve">        For s = 0 To UBound(arr)</t>
  </si>
  <si>
    <t xml:space="preserve">            If Len(arr(s)) &gt; 0 Then</t>
  </si>
  <si>
    <t xml:space="preserve">                Dim slotLen As Long: slotLen = CLng(arr(s))</t>
  </si>
  <si>
    <t xml:space="preserve">                Dim lidx As Long: lidx = -1</t>
  </si>
  <si>
    <t xml:space="preserve">                For li = 0 To nl - 1</t>
  </si>
  <si>
    <t xml:space="preserve">                    If lens(li) = slotLen Then lidx = li: Exit For</t>
  </si>
  <si>
    <t xml:space="preserve">                Next li</t>
  </si>
  <si>
    <t xml:space="preserve">                If lidx &gt;= 0 Then</t>
  </si>
  <si>
    <t xml:space="preserve">                    If qpos(lidx) &lt; lenTot(lidx) Then</t>
  </si>
  <si>
    <t xml:space="preserve">                        qpos(lidx) = qpos(lidx) + 1</t>
  </si>
  <si>
    <t xml:space="preserve">                        ws.Cells(GRIDFIRST + r - 1, 2 + s).Value = qP(lidx, qpos(lidx)) &amp; "-" &amp; slotLen &amp; "-" &amp; qG(lidx, qpos(lidx))</t>
  </si>
  <si>
    <t xml:space="preserve">                End If</t>
  </si>
  <si>
    <t xml:space="preserve">        Next s</t>
  </si>
  <si>
    <t xml:space="preserve">    MsgBox "Solved: " &amp; nR &amp; " rows at 72 ft. Product+grade grouped &amp; column-aligned.", vbInformation</t>
  </si>
  <si>
    <t xml:space="preserve">End Sub</t>
  </si>
  <si>
    <t xml:space="preserve">Private Sub EnumPatterns(ti As Long, remn As Long, cur As String)</t>
  </si>
  <si>
    <t xml:space="preserve">    If remn = 0 Then Patterns.Add cur: Exit Sub</t>
  </si>
  <si>
    <t xml:space="preserve">    If ti &gt;= NumTypes Then Exit Sub</t>
  </si>
  <si>
    <t xml:space="preserve">    Dim t As Long: t = TypeLen(ti)</t>
  </si>
  <si>
    <t xml:space="preserve">    Dim maxN As Long</t>
  </si>
  <si>
    <t xml:space="preserve">    If RemCount(ti) &lt; Int(remn / t) Then maxN = RemCount(ti) Else maxN = Int(remn / t)</t>
  </si>
  <si>
    <t xml:space="preserve">    Dim n As Long, j As Long, addStr As String</t>
  </si>
  <si>
    <t xml:space="preserve">    For n = maxN To 0 Step -1</t>
  </si>
  <si>
    <t xml:space="preserve">        addStr = cur</t>
  </si>
  <si>
    <t xml:space="preserve">        For j = 1 To n: addStr = addStr &amp; t &amp; " ": Next j</t>
  </si>
  <si>
    <t xml:space="preserve">        EnumPatterns ti + 1, remn - t * n, addStr</t>
  </si>
  <si>
    <t xml:space="preserve">    Next n</t>
  </si>
  <si>
    <t xml:space="preserve">Private Function PieceCount(patStr As String) As Long</t>
  </si>
  <si>
    <t xml:space="preserve">    Dim arr() As String: arr = Split(Trim(patStr), " ")</t>
  </si>
  <si>
    <t xml:space="preserve">    Dim s As Long, c As Long</t>
  </si>
  <si>
    <t xml:space="preserve">    For s = 0 To UBound(arr)</t>
  </si>
  <si>
    <t xml:space="preserve">        If Len(arr(s)) &gt; 0 Then c = c + 1</t>
  </si>
  <si>
    <t xml:space="preserve">    Next s</t>
  </si>
  <si>
    <t xml:space="preserve">    PieceCount = c</t>
  </si>
  <si>
    <t xml:space="preserve">End Function</t>
  </si>
  <si>
    <t xml:space="preserve">Private Function DistinctCount(patStr As String) As Long</t>
  </si>
  <si>
    <t xml:space="preserve">    Dim seen As String, s As Long, c As Long: seen = "|"</t>
  </si>
  <si>
    <t xml:space="preserve">        If Len(arr(s)) &gt; 0 Then</t>
  </si>
  <si>
    <t xml:space="preserve">            If InStr(seen, "|" &amp; arr(s) &amp; "|") = 0 Then seen = seen &amp; arr(s) &amp; "|": c = c + 1</t>
  </si>
  <si>
    <t xml:space="preserve">    DistinctCount = c</t>
  </si>
  <si>
    <t xml:space="preserve">Private Sub SortPatterns()</t>
  </si>
  <si>
    <t xml:space="preserve">    Dim n As Long: n = Patterns.Count</t>
  </si>
  <si>
    <t xml:space="preserve">    If n &lt; 2 Then Exit Sub</t>
  </si>
  <si>
    <t xml:space="preserve">    Dim arr() As String: ReDim arr(1 To n)</t>
  </si>
  <si>
    <t xml:space="preserve">    Dim i As Long: For i = 1 To n: arr(i) = Patterns(i): Next i</t>
  </si>
  <si>
    <t xml:space="preserve">    Dim a As Long, b As Long, tmp As String</t>
  </si>
  <si>
    <t xml:space="preserve">    For a = 1 To n - 1</t>
  </si>
  <si>
    <t xml:space="preserve">        For b = a + 1 To n</t>
  </si>
  <si>
    <t xml:space="preserve">            If PatBetter(arr(b), arr(a)) Then tmp = arr(a): arr(a) = arr(b): arr(b) = tmp</t>
  </si>
  <si>
    <t xml:space="preserve">        Next b</t>
  </si>
  <si>
    <t xml:space="preserve">    Next a</t>
  </si>
  <si>
    <t xml:space="preserve">    For i = 1 To n: Patterns.Add arr(i): Next i</t>
  </si>
  <si>
    <t xml:space="preserve">Private Function PatBetter(x As String, y As String) As Boolean</t>
  </si>
  <si>
    <t xml:space="preserve">    Dim dx As Long, dy As Long: dx = DistinctCount(x): dy = DistinctCount(y)</t>
  </si>
  <si>
    <t xml:space="preserve">    If dx &lt;&gt; dy Then PatBetter = (dx &lt; dy): Exit Function</t>
  </si>
  <si>
    <t xml:space="preserve">    Dim px As Long, py As Long: px = PieceCount(x): py = PieceCount(y)</t>
  </si>
  <si>
    <t xml:space="preserve">    If px &lt;&gt; py Then PatBetter = (px &lt; py): Exit Function</t>
  </si>
  <si>
    <t xml:space="preserve">    PatBetter = (CompareRows(x, y) &lt; 0)</t>
  </si>
  <si>
    <t xml:space="preserve">Private Function CompareRows(x As String, y As String) As Long</t>
  </si>
  <si>
    <t xml:space="preserve">    Dim ax() As String: ax = Split(Trim(x), " ")</t>
  </si>
  <si>
    <t xml:space="preserve">    Dim ay() As String: ay = Split(Trim(y), " ")</t>
  </si>
  <si>
    <t xml:space="preserve">    Dim nx As Long: nx = UBound(ax): Dim ny As Long: ny = UBound(ay)</t>
  </si>
  <si>
    <t xml:space="preserve">    Dim mm As Long: If nx &lt; ny Then mm = nx Else mm = ny</t>
  </si>
  <si>
    <t xml:space="preserve">    Dim i As Long, vx As Long, vy As Long</t>
  </si>
  <si>
    <t xml:space="preserve">    For i = 0 To mm</t>
  </si>
  <si>
    <t xml:space="preserve">        vx = CLng(ax(i)): vy = CLng(ay(i))</t>
  </si>
  <si>
    <t xml:space="preserve">        If vx &lt;&gt; vy Then CompareRows = IIf(vx &gt; vy, -1, 1): Exit Function</t>
  </si>
  <si>
    <t xml:space="preserve">    If nx &lt;&gt; ny Then CompareRows = IIf(nx &lt; ny, -1, 1) Else CompareRows = 0</t>
  </si>
  <si>
    <t xml:space="preserve">Private Sub Solve(rowIdx As Long, fillable As Long, target As Long)</t>
  </si>
  <si>
    <t xml:space="preserve">    If Found Then Exit Sub</t>
  </si>
  <si>
    <t xml:space="preserve">    If rowIdx = fillable Then Found = True: Exit Sub</t>
  </si>
  <si>
    <t xml:space="preserve">    Dim p As Variant, patStr As String</t>
  </si>
  <si>
    <t xml:space="preserve">    For Each p In Patterns</t>
  </si>
  <si>
    <t xml:space="preserve">        patStr = CStr(p)</t>
  </si>
  <si>
    <t xml:space="preserve">        If CanUse(patStr) Then</t>
  </si>
  <si>
    <t xml:space="preserve">            UsePat patStr, -1</t>
  </si>
  <si>
    <t xml:space="preserve">            Chosen.Add patStr</t>
  </si>
  <si>
    <t xml:space="preserve">            Solve rowIdx + 1, fillable, target</t>
  </si>
  <si>
    <t xml:space="preserve">            If Found Then Exit Sub</t>
  </si>
  <si>
    <t xml:space="preserve">            Chosen.Remove Chosen.Count</t>
  </si>
  <si>
    <t xml:space="preserve">            UsePat patStr, 1</t>
  </si>
  <si>
    <t xml:space="preserve">    Next p</t>
  </si>
  <si>
    <t xml:space="preserve">Private Function CanUse(patStr As String) As Boolean</t>
  </si>
  <si>
    <t xml:space="preserve">    Dim need() As Long: ReDim need(0 To NumTypes - 1)</t>
  </si>
  <si>
    <t xml:space="preserve">    Dim s As Long, i As Long, v As Long</t>
  </si>
  <si>
    <t xml:space="preserve">            v = CLng(arr(s))</t>
  </si>
  <si>
    <t xml:space="preserve">            For i = 0 To NumTypes - 1</t>
  </si>
  <si>
    <t xml:space="preserve">                If TypeLen(i) = v Then need(i) = need(i) + 1: Exit For</t>
  </si>
  <si>
    <t xml:space="preserve">            Next i</t>
  </si>
  <si>
    <t xml:space="preserve">    For i = 0 To NumTypes - 1</t>
  </si>
  <si>
    <t xml:space="preserve">        If need(i) &gt; RemCount(i) Then CanUse = False: Exit Function</t>
  </si>
  <si>
    <t xml:space="preserve">    CanUse = True</t>
  </si>
  <si>
    <t xml:space="preserve">Private Sub UsePat(patStr As String, delta As Long)</t>
  </si>
  <si>
    <t xml:space="preserve">                If TypeLen(i) = v Then RemCount(i) = RemCount(i) + delta: Exit For</t>
  </si>
  <si>
    <t xml:space="preserve">Sub ClearGrid()</t>
  </si>
  <si>
    <t xml:space="preserve">    Dim r As Long, s As Long</t>
  </si>
  <si>
    <t xml:space="preserve">        For s = 0 To 8: ws.Cells(34 + r, 2 + s).ClearContents: Next s</t>
  </si>
  <si>
    <t xml:space="preserve">Sub ClearAll()</t>
  </si>
  <si>
    <t xml:space="preserve">    If MsgBox("Clear the whole layout and all line items?", vbQuestion + vbYesNo, "Start Over") &lt;&gt; vbYes Then Exit Sub</t>
  </si>
  <si>
    <t xml:space="preserve">    For r = 10 To 29</t>
  </si>
  <si>
    <t xml:space="preserve">        ws.Cells(r, 2).ClearContents: ws.Cells(r, 3).ClearContents</t>
  </si>
  <si>
    <t xml:space="preserve">        ws.Cells(r, 4).ClearContents: ws.Cells(r, 5).ClearContents</t>
  </si>
  <si>
    <t xml:space="preserve">    MsgBox "Cleared. Enter new line items, then click Solve.", vbInformation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</si>
</sst>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E5E2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99999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5E2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BFF2BF"/>
      <name val="Arial"/>
      <family val="0"/>
      <charset val="1"/>
    </font>
    <font>
      <b val="true"/>
      <sz val="9"/>
      <color rgb="FFBDD7FF"/>
      <name val="Arial"/>
      <family val="0"/>
      <charset val="1"/>
    </font>
    <font>
      <b val="true"/>
      <sz val="9"/>
      <color rgb="FFFFD79E"/>
      <name val="Arial"/>
      <family val="0"/>
      <charset val="1"/>
    </font>
    <font>
      <b val="true"/>
      <sz val="9"/>
      <color rgb="FFFFC0B8"/>
      <name val="Arial"/>
      <family val="0"/>
      <charset val="1"/>
    </font>
    <font>
      <b val="true"/>
      <sz val="9"/>
      <color rgb="FFE6C2FA"/>
      <name val="Arial"/>
      <family val="0"/>
      <charset val="1"/>
    </font>
    <font>
      <b val="true"/>
      <sz val="9"/>
      <color rgb="FFA8EEEE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7A1A"/>
      <name val="Arial"/>
      <family val="0"/>
      <charset val="1"/>
    </font>
    <font>
      <b val="true"/>
      <sz val="11"/>
      <color rgb="FF2A5AAA"/>
      <name val="Arial"/>
      <family val="0"/>
      <charset val="1"/>
    </font>
    <font>
      <b val="true"/>
      <sz val="11"/>
      <color rgb="FFD08020"/>
      <name val="Arial"/>
      <family val="0"/>
      <charset val="1"/>
    </font>
    <font>
      <b val="true"/>
      <sz val="11"/>
      <color rgb="FFC03020"/>
      <name val="Arial"/>
      <family val="0"/>
      <charset val="1"/>
    </font>
    <font>
      <b val="true"/>
      <sz val="11"/>
      <color rgb="FF7A3AA0"/>
      <name val="Arial"/>
      <family val="0"/>
      <charset val="1"/>
    </font>
    <font>
      <b val="true"/>
      <sz val="11"/>
      <color rgb="FF0A8A8A"/>
      <name val="Arial"/>
      <family val="0"/>
      <charset val="1"/>
    </font>
    <font>
      <b val="true"/>
      <sz val="9"/>
      <color rgb="FF1A7A1A"/>
      <name val="Arial"/>
      <family val="0"/>
      <charset val="1"/>
    </font>
    <font>
      <b val="true"/>
      <sz val="9"/>
      <color rgb="FF2A5AAA"/>
      <name val="Arial"/>
      <family val="0"/>
      <charset val="1"/>
    </font>
    <font>
      <b val="true"/>
      <sz val="9"/>
      <color rgb="FFD08020"/>
      <name val="Arial"/>
      <family val="0"/>
      <charset val="1"/>
    </font>
    <font>
      <b val="true"/>
      <sz val="9"/>
      <color rgb="FFC03020"/>
      <name val="Arial"/>
      <family val="0"/>
      <charset val="1"/>
    </font>
    <font>
      <b val="true"/>
      <sz val="9"/>
      <color rgb="FF7A3AA0"/>
      <name val="Arial"/>
      <family val="0"/>
      <charset val="1"/>
    </font>
    <font>
      <b val="true"/>
      <sz val="9"/>
      <color rgb="FF0A8A8A"/>
      <name val="Arial"/>
      <family val="0"/>
      <charset val="1"/>
    </font>
    <font>
      <b val="true"/>
      <sz val="14"/>
      <color rgb="FF2E5E20"/>
      <name val="Arial"/>
      <family val="0"/>
      <charset val="1"/>
    </font>
    <font>
      <sz val="10"/>
      <name val="Arial"/>
      <family val="0"/>
      <charset val="1"/>
    </font>
    <font>
      <sz val="9"/>
      <color rgb="FF1A1A1A"/>
      <name val="Consolas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22820"/>
        <bgColor rgb="FF2B3126"/>
      </patternFill>
    </fill>
    <fill>
      <patternFill patternType="solid">
        <fgColor rgb="FFFFFF99"/>
        <bgColor rgb="FFFBE6C0"/>
      </patternFill>
    </fill>
    <fill>
      <patternFill patternType="solid">
        <fgColor rgb="FF2B3126"/>
        <bgColor rgb="FF333333"/>
      </patternFill>
    </fill>
    <fill>
      <patternFill patternType="solid">
        <fgColor rgb="FF3A6E9E"/>
        <bgColor rgb="FF3A7CB8"/>
      </patternFill>
    </fill>
    <fill>
      <patternFill patternType="solid">
        <fgColor rgb="FF2E7A5E"/>
        <bgColor rgb="FF2E7A6E"/>
      </patternFill>
    </fill>
    <fill>
      <patternFill patternType="solid">
        <fgColor rgb="FF7A5E2E"/>
        <bgColor rgb="FF6B4A2F"/>
      </patternFill>
    </fill>
    <fill>
      <patternFill patternType="solid">
        <fgColor rgb="FF6E3A7A"/>
        <bgColor rgb="FF7A3AA0"/>
      </patternFill>
    </fill>
    <fill>
      <patternFill patternType="solid">
        <fgColor rgb="FF8A3A3A"/>
        <bgColor rgb="FF6B4A2F"/>
      </patternFill>
    </fill>
    <fill>
      <patternFill patternType="solid">
        <fgColor rgb="FF2E7A6E"/>
        <bgColor rgb="FF2E7A5E"/>
      </patternFill>
    </fill>
    <fill>
      <patternFill patternType="solid">
        <fgColor rgb="FF4A6E2E"/>
        <bgColor rgb="FF2E5E20"/>
      </patternFill>
    </fill>
    <fill>
      <patternFill patternType="solid">
        <fgColor rgb="FF555555"/>
        <bgColor rgb="FF666666"/>
      </patternFill>
    </fill>
    <fill>
      <patternFill patternType="solid">
        <fgColor rgb="FF3A7CB8"/>
        <bgColor rgb="FF3A6E9E"/>
      </patternFill>
    </fill>
    <fill>
      <patternFill patternType="solid">
        <fgColor rgb="FF3D8A4F"/>
        <bgColor rgb="FF2E7A5E"/>
      </patternFill>
    </fill>
    <fill>
      <patternFill patternType="solid">
        <fgColor rgb="FFC8892A"/>
        <bgColor rgb="FFD08020"/>
      </patternFill>
    </fill>
    <fill>
      <patternFill patternType="solid">
        <fgColor rgb="FF7A4FA0"/>
        <bgColor rgb="FF7A3AA0"/>
      </patternFill>
    </fill>
    <fill>
      <patternFill patternType="solid">
        <fgColor rgb="FFB0473C"/>
        <bgColor rgb="FFC03020"/>
      </patternFill>
    </fill>
    <fill>
      <patternFill patternType="solid">
        <fgColor rgb="FF2E8A8A"/>
        <bgColor rgb="FF2E7A6E"/>
      </patternFill>
    </fill>
    <fill>
      <patternFill patternType="solid">
        <fgColor rgb="FF6B4A2F"/>
        <bgColor rgb="FF7A5E2E"/>
      </patternFill>
    </fill>
    <fill>
      <patternFill patternType="solid">
        <fgColor rgb="FFF2F2F2"/>
        <bgColor rgb="FFEDEDED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ck">
        <color rgb="FF3A7CB8"/>
      </left>
      <right style="thick">
        <color rgb="FF3A7CB8"/>
      </right>
      <top style="thick">
        <color rgb="FF3A7CB8"/>
      </top>
      <bottom style="thick">
        <color rgb="FF3A7CB8"/>
      </bottom>
      <diagonal/>
    </border>
    <border diagonalUp="false" diagonalDown="false">
      <left style="thick">
        <color rgb="FF3D8A4F"/>
      </left>
      <right style="thick">
        <color rgb="FF3D8A4F"/>
      </right>
      <top style="thick">
        <color rgb="FF3D8A4F"/>
      </top>
      <bottom style="thick">
        <color rgb="FF3D8A4F"/>
      </bottom>
      <diagonal/>
    </border>
    <border diagonalUp="false" diagonalDown="false">
      <left style="thick">
        <color rgb="FFC8892A"/>
      </left>
      <right style="thick">
        <color rgb="FFC8892A"/>
      </right>
      <top style="thick">
        <color rgb="FFC8892A"/>
      </top>
      <bottom style="thick">
        <color rgb="FFC8892A"/>
      </bottom>
      <diagonal/>
    </border>
    <border diagonalUp="false" diagonalDown="false">
      <left style="thick">
        <color rgb="FF7A4FA0"/>
      </left>
      <right style="thick">
        <color rgb="FF7A4FA0"/>
      </right>
      <top style="thick">
        <color rgb="FF7A4FA0"/>
      </top>
      <bottom style="thick">
        <color rgb="FF7A4FA0"/>
      </bottom>
      <diagonal/>
    </border>
    <border diagonalUp="false" diagonalDown="false">
      <left style="thick">
        <color rgb="FFB0473C"/>
      </left>
      <right style="thick">
        <color rgb="FFB0473C"/>
      </right>
      <top style="thick">
        <color rgb="FFB0473C"/>
      </top>
      <bottom style="thick">
        <color rgb="FFB0473C"/>
      </bottom>
      <diagonal/>
    </border>
    <border diagonalUp="false" diagonalDown="false">
      <left style="thick">
        <color rgb="FF2E8A8A"/>
      </left>
      <right style="thick">
        <color rgb="FF2E8A8A"/>
      </right>
      <top style="thick">
        <color rgb="FF2E8A8A"/>
      </top>
      <bottom style="thick">
        <color rgb="FF2E8A8A"/>
      </bottom>
      <diagonal/>
    </border>
    <border diagonalUp="false" diagonalDown="false">
      <left style="thick">
        <color rgb="FF6B4A2F"/>
      </left>
      <right style="thick">
        <color rgb="FF6B4A2F"/>
      </right>
      <top style="thick">
        <color rgb="FF6B4A2F"/>
      </top>
      <bottom style="thick">
        <color rgb="FF6B4A2F"/>
      </bottom>
      <diagonal/>
    </border>
    <border diagonalUp="false" diagonalDown="false">
      <left style="medium">
        <color rgb="FF1A7A1A"/>
      </left>
      <right style="medium">
        <color rgb="FF1A7A1A"/>
      </right>
      <top style="medium">
        <color rgb="FF1A7A1A"/>
      </top>
      <bottom style="medium">
        <color rgb="FF1A7A1A"/>
      </bottom>
      <diagonal/>
    </border>
    <border diagonalUp="false" diagonalDown="false">
      <left style="medium">
        <color rgb="FF2A5AAA"/>
      </left>
      <right style="medium">
        <color rgb="FF2A5AAA"/>
      </right>
      <top style="medium">
        <color rgb="FF2A5AAA"/>
      </top>
      <bottom style="medium">
        <color rgb="FF2A5AAA"/>
      </bottom>
      <diagonal/>
    </border>
    <border diagonalUp="false" diagonalDown="false">
      <left style="medium">
        <color rgb="FFD08020"/>
      </left>
      <right style="medium">
        <color rgb="FFD08020"/>
      </right>
      <top style="medium">
        <color rgb="FFD08020"/>
      </top>
      <bottom style="medium">
        <color rgb="FFD08020"/>
      </bottom>
      <diagonal/>
    </border>
    <border diagonalUp="false" diagonalDown="false">
      <left style="medium">
        <color rgb="FFC03020"/>
      </left>
      <right style="medium">
        <color rgb="FFC03020"/>
      </right>
      <top style="medium">
        <color rgb="FFC03020"/>
      </top>
      <bottom style="medium">
        <color rgb="FFC03020"/>
      </bottom>
      <diagonal/>
    </border>
    <border diagonalUp="false" diagonalDown="false">
      <left style="medium">
        <color rgb="FF7A3AA0"/>
      </left>
      <right style="medium">
        <color rgb="FF7A3AA0"/>
      </right>
      <top style="medium">
        <color rgb="FF7A3AA0"/>
      </top>
      <bottom style="medium">
        <color rgb="FF7A3AA0"/>
      </bottom>
      <diagonal/>
    </border>
    <border diagonalUp="false" diagonalDown="false">
      <left style="medium">
        <color rgb="FF0A8A8A"/>
      </left>
      <right style="medium">
        <color rgb="FF0A8A8A"/>
      </right>
      <top style="medium">
        <color rgb="FF0A8A8A"/>
      </top>
      <bottom style="medium">
        <color rgb="FF0A8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5">
    <dxf>
      <fill>
        <patternFill>
          <bgColor rgb="FF3A6E9E"/>
        </patternFill>
      </fill>
    </dxf>
    <dxf>
      <fill>
        <patternFill>
          <bgColor rgb="FF2E7A5E"/>
        </patternFill>
      </fill>
    </dxf>
    <dxf>
      <fill>
        <patternFill>
          <bgColor rgb="FF7A5E2E"/>
        </patternFill>
      </fill>
    </dxf>
    <dxf>
      <fill>
        <patternFill>
          <bgColor rgb="FF6E3A7A"/>
        </patternFill>
      </fill>
    </dxf>
    <dxf>
      <fill>
        <patternFill>
          <bgColor rgb="FF8A3A3A"/>
        </patternFill>
      </fill>
    </dxf>
    <dxf>
      <fill>
        <patternFill>
          <bgColor rgb="FF2E7A6E"/>
        </patternFill>
      </fill>
    </dxf>
    <dxf>
      <fill>
        <patternFill>
          <bgColor rgb="FF4A6E2E"/>
        </patternFill>
      </fill>
    </dxf>
    <dxf>
      <border diagonalUp="false" diagonalDown="false">
        <left style="thick">
          <color rgb="FF3A7CB8"/>
        </left>
        <right style="thick">
          <color rgb="FF3A7CB8"/>
        </right>
        <top style="thick">
          <color rgb="FF3A7CB8"/>
        </top>
        <bottom style="thick">
          <color rgb="FF3A7CB8"/>
        </bottom>
        <diagonal/>
      </border>
    </dxf>
    <dxf>
      <border diagonalUp="false" diagonalDown="false">
        <left style="thick">
          <color rgb="FF3D8A4F"/>
        </left>
        <right style="thick">
          <color rgb="FF3D8A4F"/>
        </right>
        <top style="thick">
          <color rgb="FF3D8A4F"/>
        </top>
        <bottom style="thick">
          <color rgb="FF3D8A4F"/>
        </bottom>
        <diagonal/>
      </border>
    </dxf>
    <dxf>
      <border diagonalUp="false" diagonalDown="false">
        <left style="thick">
          <color rgb="FFC8892A"/>
        </left>
        <right style="thick">
          <color rgb="FFC8892A"/>
        </right>
        <top style="thick">
          <color rgb="FFC8892A"/>
        </top>
        <bottom style="thick">
          <color rgb="FFC8892A"/>
        </bottom>
        <diagonal/>
      </border>
    </dxf>
    <dxf>
      <border diagonalUp="false" diagonalDown="false">
        <left style="thick">
          <color rgb="FF7A4FA0"/>
        </left>
        <right style="thick">
          <color rgb="FF7A4FA0"/>
        </right>
        <top style="thick">
          <color rgb="FF7A4FA0"/>
        </top>
        <bottom style="thick">
          <color rgb="FF7A4FA0"/>
        </bottom>
        <diagonal/>
      </border>
    </dxf>
    <dxf>
      <border diagonalUp="false" diagonalDown="false">
        <left style="thick">
          <color rgb="FFB0473C"/>
        </left>
        <right style="thick">
          <color rgb="FFB0473C"/>
        </right>
        <top style="thick">
          <color rgb="FFB0473C"/>
        </top>
        <bottom style="thick">
          <color rgb="FFB0473C"/>
        </bottom>
        <diagonal/>
      </border>
    </dxf>
    <dxf>
      <border diagonalUp="false" diagonalDown="false">
        <left style="thick">
          <color rgb="FF2E8A8A"/>
        </left>
        <right style="thick">
          <color rgb="FF2E8A8A"/>
        </right>
        <top style="thick">
          <color rgb="FF2E8A8A"/>
        </top>
        <bottom style="thick">
          <color rgb="FF2E8A8A"/>
        </bottom>
        <diagonal/>
      </border>
    </dxf>
    <dxf>
      <border diagonalUp="false" diagonalDown="false">
        <left style="thick">
          <color rgb="FF6B4A2F"/>
        </left>
        <right style="thick">
          <color rgb="FF6B4A2F"/>
        </right>
        <top style="thick">
          <color rgb="FF6B4A2F"/>
        </top>
        <bottom style="thick">
          <color rgb="FF6B4A2F"/>
        </bottom>
        <diagonal/>
      </border>
    </dxf>
    <dxf>
      <font>
        <name val="Arial"/>
        <charset val="1"/>
        <family val="0"/>
        <b val="1"/>
        <color rgb="FFBFF2BF"/>
        <sz val="8"/>
      </font>
    </dxf>
    <dxf>
      <font>
        <name val="Arial"/>
        <charset val="1"/>
        <family val="0"/>
        <b val="1"/>
        <color rgb="FFBDD7FF"/>
        <sz val="8"/>
      </font>
    </dxf>
    <dxf>
      <font>
        <name val="Arial"/>
        <charset val="1"/>
        <family val="0"/>
        <b val="1"/>
        <color rgb="FFFFD79E"/>
        <sz val="8"/>
      </font>
    </dxf>
    <dxf>
      <font>
        <name val="Arial"/>
        <charset val="1"/>
        <family val="0"/>
        <b val="1"/>
        <color rgb="FFFFC0B8"/>
        <sz val="8"/>
      </font>
    </dxf>
    <dxf>
      <font>
        <name val="Arial"/>
        <charset val="1"/>
        <family val="0"/>
        <b val="1"/>
        <color rgb="FFE6C2FA"/>
        <sz val="8"/>
      </font>
    </dxf>
    <dxf>
      <font>
        <name val="Arial"/>
        <charset val="1"/>
        <family val="0"/>
        <b val="1"/>
        <color rgb="FFA8EEEE"/>
        <sz val="8"/>
      </font>
    </dxf>
    <dxf>
      <fill>
        <patternFill>
          <bgColor rgb="FFF2F2F2"/>
        </patternFill>
      </fill>
    </dxf>
    <dxf>
      <font>
        <name val="Arial"/>
        <charset val="1"/>
        <family val="0"/>
        <b val="1"/>
        <color rgb="FF1A6010"/>
      </font>
      <fill>
        <patternFill>
          <bgColor rgb="FFD8F0D0"/>
        </patternFill>
      </fill>
    </dxf>
    <dxf>
      <font>
        <name val="Arial"/>
        <charset val="1"/>
        <family val="0"/>
        <b val="1"/>
        <color rgb="FFA30000"/>
      </font>
      <fill>
        <patternFill>
          <bgColor rgb="FFF4C0C0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BE6C0"/>
        </patternFill>
      </fill>
    </dxf>
    <dxf>
      <font>
        <name val="Arial"/>
        <charset val="1"/>
        <family val="0"/>
        <i val="1"/>
        <color rgb="FF99999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A6E9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7A5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A5E2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E3A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A3A3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7A6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4A6E2E"/>
        </patternFill>
      </fill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3A7CB8"/>
        </left>
        <right style="thick">
          <color rgb="FF3A7CB8"/>
        </right>
        <top style="thick">
          <color rgb="FF3A7CB8"/>
        </top>
        <bottom style="thick">
          <color rgb="FF3A7CB8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3D8A4F"/>
        </left>
        <right style="thick">
          <color rgb="FF3D8A4F"/>
        </right>
        <top style="thick">
          <color rgb="FF3D8A4F"/>
        </top>
        <bottom style="thick">
          <color rgb="FF3D8A4F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C8892A"/>
        </left>
        <right style="thick">
          <color rgb="FFC8892A"/>
        </right>
        <top style="thick">
          <color rgb="FFC8892A"/>
        </top>
        <bottom style="thick">
          <color rgb="FFC8892A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7A4FA0"/>
        </left>
        <right style="thick">
          <color rgb="FF7A4FA0"/>
        </right>
        <top style="thick">
          <color rgb="FF7A4FA0"/>
        </top>
        <bottom style="thick">
          <color rgb="FF7A4FA0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B0473C"/>
        </left>
        <right style="thick">
          <color rgb="FFB0473C"/>
        </right>
        <top style="thick">
          <color rgb="FFB0473C"/>
        </top>
        <bottom style="thick">
          <color rgb="FFB0473C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2E8A8A"/>
        </left>
        <right style="thick">
          <color rgb="FF2E8A8A"/>
        </right>
        <top style="thick">
          <color rgb="FF2E8A8A"/>
        </top>
        <bottom style="thick">
          <color rgb="FF2E8A8A"/>
        </bottom>
        <diagonal/>
      </border>
    </dxf>
    <dxf>
      <font>
        <name val="Arial"/>
        <charset val="1"/>
        <family val="0"/>
        <b val="1"/>
        <color rgb="FF333333"/>
      </font>
      <border diagonalUp="false" diagonalDown="false">
        <left style="thick">
          <color rgb="FF6B4A2F"/>
        </left>
        <right style="thick">
          <color rgb="FF6B4A2F"/>
        </right>
        <top style="thick">
          <color rgb="FF6B4A2F"/>
        </top>
        <bottom style="thick">
          <color rgb="FF6B4A2F"/>
        </bottom>
        <diagonal/>
      </border>
    </dxf>
    <dxf>
      <font>
        <name val="Arial"/>
        <charset val="1"/>
        <family val="0"/>
        <b val="1"/>
        <color rgb="FF1A7A1A"/>
      </font>
    </dxf>
    <dxf>
      <font>
        <name val="Arial"/>
        <charset val="1"/>
        <family val="0"/>
        <b val="1"/>
        <color rgb="FF2A5AAA"/>
      </font>
    </dxf>
    <dxf>
      <font>
        <name val="Arial"/>
        <charset val="1"/>
        <family val="0"/>
        <b val="1"/>
        <color rgb="FFD08020"/>
      </font>
    </dxf>
    <dxf>
      <font>
        <name val="Arial"/>
        <charset val="1"/>
        <family val="0"/>
        <b val="1"/>
        <color rgb="FFC03020"/>
      </font>
    </dxf>
    <dxf>
      <font>
        <name val="Arial"/>
        <charset val="1"/>
        <family val="0"/>
        <b val="1"/>
        <color rgb="FF7A3AA0"/>
      </font>
    </dxf>
    <dxf>
      <font>
        <name val="Arial"/>
        <charset val="1"/>
        <family val="0"/>
        <b val="1"/>
        <color rgb="FF0A8A8A"/>
      </font>
    </dxf>
  </dxfs>
  <colors>
    <indexedColors>
      <rgbColor rgb="FF000000"/>
      <rgbColor rgb="FFFFFFFF"/>
      <rgbColor rgb="FFFF0000"/>
      <rgbColor rgb="FF2E7A5E"/>
      <rgbColor rgb="FF0000FF"/>
      <rgbColor rgb="FFFBE6C0"/>
      <rgbColor rgb="FFFF00FF"/>
      <rgbColor rgb="FF00FFFF"/>
      <rgbColor rgb="FFA30000"/>
      <rgbColor rgb="FF1A7A1A"/>
      <rgbColor rgb="FF2E5E20"/>
      <rgbColor rgb="FF8A5A00"/>
      <rgbColor rgb="FF7A3AA0"/>
      <rgbColor rgb="FF0A8A8A"/>
      <rgbColor rgb="FFB0B0B0"/>
      <rgbColor rgb="FF7A5E2E"/>
      <rgbColor rgb="FFF4C0C0"/>
      <rgbColor rgb="FF8A3A3A"/>
      <rgbColor rgb="FFF2F2F2"/>
      <rgbColor rgb="FFD8F0D0"/>
      <rgbColor rgb="FF6B4A2F"/>
      <rgbColor rgb="FFC8892A"/>
      <rgbColor rgb="FF2A5AAA"/>
      <rgbColor rgb="FFBDD7FF"/>
      <rgbColor rgb="FF1A6010"/>
      <rgbColor rgb="FFFF00FF"/>
      <rgbColor rgb="FFFFFF00"/>
      <rgbColor rgb="FF00FFFF"/>
      <rgbColor rgb="FF7A4FA0"/>
      <rgbColor rgb="FF555555"/>
      <rgbColor rgb="FF2E7A6E"/>
      <rgbColor rgb="FF0000FF"/>
      <rgbColor rgb="FF3A6E9E"/>
      <rgbColor rgb="FFEDEDED"/>
      <rgbColor rgb="FFBFF2BF"/>
      <rgbColor rgb="FFFFFF99"/>
      <rgbColor rgb="FFA8EEEE"/>
      <rgbColor rgb="FFFFC0B8"/>
      <rgbColor rgb="FFE6C2FA"/>
      <rgbColor rgb="FFFFD79E"/>
      <rgbColor rgb="FF3A7CB8"/>
      <rgbColor rgb="FF2E8A8A"/>
      <rgbColor rgb="FF4A6E2E"/>
      <rgbColor rgb="FFFFCC00"/>
      <rgbColor rgb="FFD08020"/>
      <rgbColor rgb="FFFF6600"/>
      <rgbColor rgb="FF666666"/>
      <rgbColor rgb="FF999999"/>
      <rgbColor rgb="FF1A1A1A"/>
      <rgbColor rgb="FF3D8A4F"/>
      <rgbColor rgb="FF222820"/>
      <rgbColor rgb="FF2B3126"/>
      <rgbColor rgb="FFC03020"/>
      <rgbColor rgb="FFB0473C"/>
      <rgbColor rgb="FF6E3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C5" s="5" t="n">
        <v>10</v>
      </c>
    </row>
    <row r="6" customFormat="false" ht="15" hidden="false" customHeight="false" outlineLevel="0" collapsed="false">
      <c r="A6" s="6" t="s">
        <v>4</v>
      </c>
      <c r="C6" s="7" t="n">
        <v>72</v>
      </c>
    </row>
    <row r="8" customFormat="false" ht="15" hidden="false" customHeight="false" outlineLevel="0" collapsed="false">
      <c r="A8" s="3" t="s">
        <v>5</v>
      </c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J9" s="3" t="s">
        <v>14</v>
      </c>
      <c r="K9" s="3"/>
      <c r="L9" s="3"/>
      <c r="M9" s="3"/>
    </row>
    <row r="10" customFormat="false" ht="15" hidden="false" customHeight="false" outlineLevel="0" collapsed="false">
      <c r="A10" s="9" t="n">
        <v>1</v>
      </c>
      <c r="B10" s="10" t="s">
        <v>15</v>
      </c>
      <c r="C10" s="10" t="n">
        <v>16</v>
      </c>
      <c r="D10" s="10" t="s">
        <v>16</v>
      </c>
      <c r="E10" s="10" t="n">
        <v>2</v>
      </c>
      <c r="F10" s="11" t="n">
        <f aca="false">IF(B10="","",C10*E10)</f>
        <v>32</v>
      </c>
      <c r="G10" s="11" t="n">
        <f aca="false">IF(B10="","",COUNTIF($B$34:$J$47,B10&amp;"-"&amp;C10&amp;"-"&amp;D10))</f>
        <v>2</v>
      </c>
      <c r="H10" s="11" t="n">
        <f aca="false">IF(B10="","",E10-G10)</f>
        <v>0</v>
      </c>
      <c r="I10" s="12" t="n">
        <f aca="false">IF(B10="",0,C10*G10)</f>
        <v>32</v>
      </c>
      <c r="J10" s="13" t="s">
        <v>17</v>
      </c>
      <c r="K10" s="13"/>
      <c r="L10" s="14" t="n">
        <f aca="false">F30</f>
        <v>720</v>
      </c>
      <c r="M10" s="14"/>
    </row>
    <row r="11" customFormat="false" ht="15" hidden="false" customHeight="false" outlineLevel="0" collapsed="false">
      <c r="A11" s="9" t="n">
        <v>2</v>
      </c>
      <c r="B11" s="10" t="s">
        <v>18</v>
      </c>
      <c r="C11" s="10" t="n">
        <v>16</v>
      </c>
      <c r="D11" s="10" t="s">
        <v>16</v>
      </c>
      <c r="E11" s="10" t="n">
        <v>3</v>
      </c>
      <c r="F11" s="11" t="n">
        <f aca="false">IF(B11="","",C11*E11)</f>
        <v>48</v>
      </c>
      <c r="G11" s="11" t="n">
        <f aca="false">IF(B11="","",COUNTIF($B$34:$J$47,B11&amp;"-"&amp;C11&amp;"-"&amp;D11))</f>
        <v>3</v>
      </c>
      <c r="H11" s="11" t="n">
        <f aca="false">IF(B11="","",E11-G11)</f>
        <v>0</v>
      </c>
      <c r="I11" s="12" t="n">
        <f aca="false">IF(B11="",0,C11*G11)</f>
        <v>48</v>
      </c>
      <c r="J11" s="13" t="s">
        <v>19</v>
      </c>
      <c r="K11" s="13"/>
      <c r="L11" s="14" t="n">
        <f aca="false">C5*C6</f>
        <v>720</v>
      </c>
      <c r="M11" s="14"/>
    </row>
    <row r="12" customFormat="false" ht="15" hidden="false" customHeight="false" outlineLevel="0" collapsed="false">
      <c r="A12" s="9" t="n">
        <v>3</v>
      </c>
      <c r="B12" s="10" t="s">
        <v>18</v>
      </c>
      <c r="C12" s="10" t="n">
        <v>14</v>
      </c>
      <c r="D12" s="10" t="s">
        <v>16</v>
      </c>
      <c r="E12" s="10" t="n">
        <v>12</v>
      </c>
      <c r="F12" s="11" t="n">
        <f aca="false">IF(B12="","",C12*E12)</f>
        <v>168</v>
      </c>
      <c r="G12" s="11" t="n">
        <f aca="false">IF(B12="","",COUNTIF($B$34:$J$47,B12&amp;"-"&amp;C12&amp;"-"&amp;D12))</f>
        <v>12</v>
      </c>
      <c r="H12" s="11" t="n">
        <f aca="false">IF(B12="","",E12-G12)</f>
        <v>0</v>
      </c>
      <c r="I12" s="12" t="n">
        <f aca="false">IF(B12="",0,C12*G12)</f>
        <v>168</v>
      </c>
      <c r="J12" s="13" t="s">
        <v>20</v>
      </c>
      <c r="K12" s="13"/>
      <c r="L12" s="14" t="n">
        <f aca="false">F30-C5*C6</f>
        <v>0</v>
      </c>
      <c r="M12" s="14"/>
    </row>
    <row r="13" customFormat="false" ht="15" hidden="false" customHeight="false" outlineLevel="0" collapsed="false">
      <c r="A13" s="9" t="n">
        <v>4</v>
      </c>
      <c r="B13" s="10" t="s">
        <v>21</v>
      </c>
      <c r="C13" s="10" t="n">
        <v>14</v>
      </c>
      <c r="D13" s="10" t="s">
        <v>22</v>
      </c>
      <c r="E13" s="10" t="n">
        <v>8</v>
      </c>
      <c r="F13" s="11" t="n">
        <f aca="false">IF(B13="","",C13*E13)</f>
        <v>112</v>
      </c>
      <c r="G13" s="11" t="n">
        <f aca="false">IF(B13="","",COUNTIF($B$34:$J$47,B13&amp;"-"&amp;C13&amp;"-"&amp;D13))</f>
        <v>8</v>
      </c>
      <c r="H13" s="11" t="n">
        <f aca="false">IF(B13="","",E13-G13)</f>
        <v>0</v>
      </c>
      <c r="I13" s="12" t="n">
        <f aca="false">IF(B13="",0,C13*G13)</f>
        <v>112</v>
      </c>
      <c r="J13" s="13" t="s">
        <v>23</v>
      </c>
      <c r="K13" s="13"/>
      <c r="L13" s="14" t="n">
        <f aca="false">IF(F30=0,0,ROUNDUP(F30/C6,0))</f>
        <v>10</v>
      </c>
      <c r="M13" s="14"/>
    </row>
    <row r="14" customFormat="false" ht="15" hidden="false" customHeight="false" outlineLevel="0" collapsed="false">
      <c r="A14" s="9" t="n">
        <v>5</v>
      </c>
      <c r="B14" s="10" t="s">
        <v>15</v>
      </c>
      <c r="C14" s="10" t="n">
        <v>12</v>
      </c>
      <c r="D14" s="10" t="s">
        <v>24</v>
      </c>
      <c r="E14" s="10" t="n">
        <v>30</v>
      </c>
      <c r="F14" s="11" t="n">
        <f aca="false">IF(B14="","",C14*E14)</f>
        <v>360</v>
      </c>
      <c r="G14" s="11" t="n">
        <f aca="false">IF(B14="","",COUNTIF($B$34:$J$47,B14&amp;"-"&amp;C14&amp;"-"&amp;D14))</f>
        <v>30</v>
      </c>
      <c r="H14" s="11" t="n">
        <f aca="false">IF(B14="","",E14-G14)</f>
        <v>0</v>
      </c>
      <c r="I14" s="12" t="n">
        <f aca="false">IF(B14="",0,C14*G14)</f>
        <v>360</v>
      </c>
      <c r="J14" s="13" t="s">
        <v>25</v>
      </c>
      <c r="K14" s="13"/>
      <c r="L14" s="14" t="n">
        <f aca="false">COUNTIF($L$34:$L$47,"OK 72")</f>
        <v>10</v>
      </c>
      <c r="M14" s="14"/>
    </row>
    <row r="15" customFormat="false" ht="15" hidden="false" customHeight="false" outlineLevel="0" collapsed="false">
      <c r="A15" s="9" t="n">
        <v>6</v>
      </c>
      <c r="B15" s="10"/>
      <c r="C15" s="10"/>
      <c r="D15" s="10"/>
      <c r="E15" s="10"/>
      <c r="F15" s="11" t="str">
        <f aca="false">IF(B15="","",C15*E15)</f>
        <v/>
      </c>
      <c r="G15" s="11" t="str">
        <f aca="false">IF(B15="","",COUNTIF($B$34:$J$47,B15&amp;"-"&amp;C15&amp;"-"&amp;D15))</f>
        <v/>
      </c>
      <c r="H15" s="11" t="str">
        <f aca="false">IF(B15="","",E15-G15)</f>
        <v/>
      </c>
      <c r="I15" s="12" t="n">
        <f aca="false">IF(B15="",0,C15*G15)</f>
        <v>0</v>
      </c>
      <c r="J15" s="13" t="s">
        <v>26</v>
      </c>
      <c r="K15" s="13"/>
      <c r="L15" s="14" t="n">
        <f aca="false">COUNTA($B$34:$J$47)</f>
        <v>55</v>
      </c>
      <c r="M15" s="14"/>
    </row>
    <row r="16" customFormat="false" ht="15" hidden="false" customHeight="false" outlineLevel="0" collapsed="false">
      <c r="A16" s="9" t="n">
        <v>7</v>
      </c>
      <c r="B16" s="10"/>
      <c r="C16" s="10"/>
      <c r="D16" s="10"/>
      <c r="E16" s="10"/>
      <c r="F16" s="11" t="str">
        <f aca="false">IF(B16="","",C16*E16)</f>
        <v/>
      </c>
      <c r="G16" s="11" t="str">
        <f aca="false">IF(B16="","",COUNTIF($B$34:$J$47,B16&amp;"-"&amp;C16&amp;"-"&amp;D16))</f>
        <v/>
      </c>
      <c r="H16" s="11" t="str">
        <f aca="false">IF(B16="","",E16-G16)</f>
        <v/>
      </c>
      <c r="I16" s="12" t="n">
        <f aca="false">IF(B16="",0,C16*G16)</f>
        <v>0</v>
      </c>
      <c r="J16" s="13" t="s">
        <v>27</v>
      </c>
      <c r="K16" s="13"/>
      <c r="L16" s="14" t="n">
        <f aca="false">E30-COUNTA($B$34:$J$47)</f>
        <v>0</v>
      </c>
      <c r="M16" s="14"/>
    </row>
    <row r="17" customFormat="false" ht="15" hidden="false" customHeight="false" outlineLevel="0" collapsed="false">
      <c r="A17" s="9" t="n">
        <v>8</v>
      </c>
      <c r="B17" s="10"/>
      <c r="C17" s="10"/>
      <c r="D17" s="10"/>
      <c r="E17" s="10"/>
      <c r="F17" s="11" t="str">
        <f aca="false">IF(B17="","",C17*E17)</f>
        <v/>
      </c>
      <c r="G17" s="11" t="str">
        <f aca="false">IF(B17="","",COUNTIF($B$34:$J$47,B17&amp;"-"&amp;C17&amp;"-"&amp;D17))</f>
        <v/>
      </c>
      <c r="H17" s="11" t="str">
        <f aca="false">IF(B17="","",E17-G17)</f>
        <v/>
      </c>
      <c r="I17" s="12" t="n">
        <f aca="false">IF(B17="",0,C17*G17)</f>
        <v>0</v>
      </c>
      <c r="J17" s="15" t="s">
        <v>28</v>
      </c>
      <c r="K17" s="15"/>
      <c r="L17" s="16" t="str">
        <f aca="false">IF(E30-COUNTA($B$34:$J$47)&gt;0,"OVERLOADED — "&amp;(E30-COUNTA($B$34:$J$47))&amp;" unplaced",IF(AND(COUNTIF($L$34:$L$47,"OK 72")=C5,C5&gt;0),"PERFECT — all "&amp;C5&amp;" rows = 72ft",IF(COUNTIF($L$34:$L$47,"OVER*")&gt;0,"ROW OVER 72 — fix","INCOMPLETE — keep filling")))</f>
        <v>PERFECT — all 10 rows = 72ft</v>
      </c>
      <c r="M17" s="16"/>
    </row>
    <row r="18" customFormat="false" ht="15" hidden="false" customHeight="false" outlineLevel="0" collapsed="false">
      <c r="A18" s="9" t="n">
        <v>9</v>
      </c>
      <c r="B18" s="10"/>
      <c r="C18" s="10"/>
      <c r="D18" s="10"/>
      <c r="E18" s="10"/>
      <c r="F18" s="11" t="str">
        <f aca="false">IF(B18="","",C18*E18)</f>
        <v/>
      </c>
      <c r="G18" s="11" t="str">
        <f aca="false">IF(B18="","",COUNTIF($B$34:$J$47,B18&amp;"-"&amp;C18&amp;"-"&amp;D18))</f>
        <v/>
      </c>
      <c r="H18" s="11" t="str">
        <f aca="false">IF(B18="","",E18-G18)</f>
        <v/>
      </c>
      <c r="I18" s="12" t="n">
        <f aca="false">IF(B18="",0,C18*G18)</f>
        <v>0</v>
      </c>
    </row>
    <row r="19" customFormat="false" ht="15" hidden="false" customHeight="false" outlineLevel="0" collapsed="false">
      <c r="A19" s="9" t="n">
        <v>10</v>
      </c>
      <c r="B19" s="10"/>
      <c r="C19" s="10"/>
      <c r="D19" s="10"/>
      <c r="E19" s="10"/>
      <c r="F19" s="11" t="str">
        <f aca="false">IF(B19="","",C19*E19)</f>
        <v/>
      </c>
      <c r="G19" s="11" t="str">
        <f aca="false">IF(B19="","",COUNTIF($B$34:$J$47,B19&amp;"-"&amp;C19&amp;"-"&amp;D19))</f>
        <v/>
      </c>
      <c r="H19" s="11" t="str">
        <f aca="false">IF(B19="","",E19-G19)</f>
        <v/>
      </c>
      <c r="I19" s="12" t="n">
        <f aca="false">IF(B19="",0,C19*G19)</f>
        <v>0</v>
      </c>
    </row>
    <row r="20" customFormat="false" ht="15" hidden="false" customHeight="false" outlineLevel="0" collapsed="false">
      <c r="A20" s="9" t="n">
        <v>11</v>
      </c>
      <c r="B20" s="10"/>
      <c r="C20" s="10"/>
      <c r="D20" s="10"/>
      <c r="E20" s="10"/>
      <c r="F20" s="11" t="str">
        <f aca="false">IF(B20="","",C20*E20)</f>
        <v/>
      </c>
      <c r="G20" s="11" t="str">
        <f aca="false">IF(B20="","",COUNTIF($B$34:$J$47,B20&amp;"-"&amp;C20&amp;"-"&amp;D20))</f>
        <v/>
      </c>
      <c r="H20" s="11" t="str">
        <f aca="false">IF(B20="","",E20-G20)</f>
        <v/>
      </c>
      <c r="I20" s="12" t="n">
        <f aca="false">IF(B20="",0,C20*G20)</f>
        <v>0</v>
      </c>
    </row>
    <row r="21" customFormat="false" ht="15" hidden="false" customHeight="false" outlineLevel="0" collapsed="false">
      <c r="A21" s="9" t="n">
        <v>12</v>
      </c>
      <c r="B21" s="10"/>
      <c r="C21" s="10"/>
      <c r="D21" s="10"/>
      <c r="E21" s="10"/>
      <c r="F21" s="11" t="str">
        <f aca="false">IF(B21="","",C21*E21)</f>
        <v/>
      </c>
      <c r="G21" s="11" t="str">
        <f aca="false">IF(B21="","",COUNTIF($B$34:$J$47,B21&amp;"-"&amp;C21&amp;"-"&amp;D21))</f>
        <v/>
      </c>
      <c r="H21" s="11" t="str">
        <f aca="false">IF(B21="","",E21-G21)</f>
        <v/>
      </c>
      <c r="I21" s="12" t="n">
        <f aca="false">IF(B21="",0,C21*G21)</f>
        <v>0</v>
      </c>
    </row>
    <row r="22" customFormat="false" ht="15" hidden="false" customHeight="false" outlineLevel="0" collapsed="false">
      <c r="A22" s="9" t="n">
        <v>13</v>
      </c>
      <c r="B22" s="10"/>
      <c r="C22" s="10"/>
      <c r="D22" s="10"/>
      <c r="E22" s="10"/>
      <c r="F22" s="11" t="str">
        <f aca="false">IF(B22="","",C22*E22)</f>
        <v/>
      </c>
      <c r="G22" s="11" t="str">
        <f aca="false">IF(B22="","",COUNTIF($B$34:$J$47,B22&amp;"-"&amp;C22&amp;"-"&amp;D22))</f>
        <v/>
      </c>
      <c r="H22" s="11" t="str">
        <f aca="false">IF(B22="","",E22-G22)</f>
        <v/>
      </c>
      <c r="I22" s="12" t="n">
        <f aca="false">IF(B22="",0,C22*G22)</f>
        <v>0</v>
      </c>
    </row>
    <row r="23" customFormat="false" ht="15" hidden="false" customHeight="false" outlineLevel="0" collapsed="false">
      <c r="A23" s="9" t="n">
        <v>14</v>
      </c>
      <c r="B23" s="10"/>
      <c r="C23" s="10"/>
      <c r="D23" s="10"/>
      <c r="E23" s="10"/>
      <c r="F23" s="11" t="str">
        <f aca="false">IF(B23="","",C23*E23)</f>
        <v/>
      </c>
      <c r="G23" s="11" t="str">
        <f aca="false">IF(B23="","",COUNTIF($B$34:$J$47,B23&amp;"-"&amp;C23&amp;"-"&amp;D23))</f>
        <v/>
      </c>
      <c r="H23" s="11" t="str">
        <f aca="false">IF(B23="","",E23-G23)</f>
        <v/>
      </c>
      <c r="I23" s="12" t="n">
        <f aca="false">IF(B23="",0,C23*G23)</f>
        <v>0</v>
      </c>
    </row>
    <row r="24" customFormat="false" ht="15" hidden="false" customHeight="false" outlineLevel="0" collapsed="false">
      <c r="A24" s="9" t="n">
        <v>15</v>
      </c>
      <c r="B24" s="10"/>
      <c r="C24" s="10"/>
      <c r="D24" s="10"/>
      <c r="E24" s="10"/>
      <c r="F24" s="11" t="str">
        <f aca="false">IF(B24="","",C24*E24)</f>
        <v/>
      </c>
      <c r="G24" s="11" t="str">
        <f aca="false">IF(B24="","",COUNTIF($B$34:$J$47,B24&amp;"-"&amp;C24&amp;"-"&amp;D24))</f>
        <v/>
      </c>
      <c r="H24" s="11" t="str">
        <f aca="false">IF(B24="","",E24-G24)</f>
        <v/>
      </c>
      <c r="I24" s="12" t="n">
        <f aca="false">IF(B24="",0,C24*G24)</f>
        <v>0</v>
      </c>
    </row>
    <row r="25" customFormat="false" ht="15" hidden="false" customHeight="false" outlineLevel="0" collapsed="false">
      <c r="A25" s="9" t="n">
        <v>16</v>
      </c>
      <c r="B25" s="10"/>
      <c r="C25" s="10"/>
      <c r="D25" s="10"/>
      <c r="E25" s="10"/>
      <c r="F25" s="11" t="str">
        <f aca="false">IF(B25="","",C25*E25)</f>
        <v/>
      </c>
      <c r="G25" s="11" t="str">
        <f aca="false">IF(B25="","",COUNTIF($B$34:$J$47,B25&amp;"-"&amp;C25&amp;"-"&amp;D25))</f>
        <v/>
      </c>
      <c r="H25" s="11" t="str">
        <f aca="false">IF(B25="","",E25-G25)</f>
        <v/>
      </c>
      <c r="I25" s="12" t="n">
        <f aca="false">IF(B25="",0,C25*G25)</f>
        <v>0</v>
      </c>
    </row>
    <row r="26" customFormat="false" ht="15" hidden="false" customHeight="false" outlineLevel="0" collapsed="false">
      <c r="A26" s="9" t="n">
        <v>17</v>
      </c>
      <c r="B26" s="10"/>
      <c r="C26" s="10"/>
      <c r="D26" s="10"/>
      <c r="E26" s="10"/>
      <c r="F26" s="11" t="str">
        <f aca="false">IF(B26="","",C26*E26)</f>
        <v/>
      </c>
      <c r="G26" s="11" t="str">
        <f aca="false">IF(B26="","",COUNTIF($B$34:$J$47,B26&amp;"-"&amp;C26&amp;"-"&amp;D26))</f>
        <v/>
      </c>
      <c r="H26" s="11" t="str">
        <f aca="false">IF(B26="","",E26-G26)</f>
        <v/>
      </c>
      <c r="I26" s="12" t="n">
        <f aca="false">IF(B26="",0,C26*G26)</f>
        <v>0</v>
      </c>
    </row>
    <row r="27" customFormat="false" ht="15" hidden="false" customHeight="false" outlineLevel="0" collapsed="false">
      <c r="A27" s="9" t="n">
        <v>18</v>
      </c>
      <c r="B27" s="10"/>
      <c r="C27" s="10"/>
      <c r="D27" s="10"/>
      <c r="E27" s="10"/>
      <c r="F27" s="11" t="str">
        <f aca="false">IF(B27="","",C27*E27)</f>
        <v/>
      </c>
      <c r="G27" s="11" t="str">
        <f aca="false">IF(B27="","",COUNTIF($B$34:$J$47,B27&amp;"-"&amp;C27&amp;"-"&amp;D27))</f>
        <v/>
      </c>
      <c r="H27" s="11" t="str">
        <f aca="false">IF(B27="","",E27-G27)</f>
        <v/>
      </c>
      <c r="I27" s="12" t="n">
        <f aca="false">IF(B27="",0,C27*G27)</f>
        <v>0</v>
      </c>
    </row>
    <row r="28" customFormat="false" ht="15" hidden="false" customHeight="false" outlineLevel="0" collapsed="false">
      <c r="A28" s="9" t="n">
        <v>19</v>
      </c>
      <c r="B28" s="10"/>
      <c r="C28" s="10"/>
      <c r="D28" s="10"/>
      <c r="E28" s="10"/>
      <c r="F28" s="11" t="str">
        <f aca="false">IF(B28="","",C28*E28)</f>
        <v/>
      </c>
      <c r="G28" s="11" t="str">
        <f aca="false">IF(B28="","",COUNTIF($B$34:$J$47,B28&amp;"-"&amp;C28&amp;"-"&amp;D28))</f>
        <v/>
      </c>
      <c r="H28" s="11" t="str">
        <f aca="false">IF(B28="","",E28-G28)</f>
        <v/>
      </c>
      <c r="I28" s="12" t="n">
        <f aca="false">IF(B28="",0,C28*G28)</f>
        <v>0</v>
      </c>
    </row>
    <row r="29" customFormat="false" ht="15" hidden="false" customHeight="false" outlineLevel="0" collapsed="false">
      <c r="A29" s="9" t="n">
        <v>20</v>
      </c>
      <c r="B29" s="10"/>
      <c r="C29" s="10"/>
      <c r="D29" s="10"/>
      <c r="E29" s="10"/>
      <c r="F29" s="11" t="str">
        <f aca="false">IF(B29="","",C29*E29)</f>
        <v/>
      </c>
      <c r="G29" s="11" t="str">
        <f aca="false">IF(B29="","",COUNTIF($B$34:$J$47,B29&amp;"-"&amp;C29&amp;"-"&amp;D29))</f>
        <v/>
      </c>
      <c r="H29" s="11" t="str">
        <f aca="false">IF(B29="","",E29-G29)</f>
        <v/>
      </c>
      <c r="I29" s="12" t="n">
        <f aca="false">IF(B29="",0,C29*G29)</f>
        <v>0</v>
      </c>
    </row>
    <row r="30" customFormat="false" ht="15" hidden="false" customHeight="false" outlineLevel="0" collapsed="false">
      <c r="A30" s="16" t="s">
        <v>29</v>
      </c>
      <c r="B30" s="16"/>
      <c r="C30" s="16"/>
      <c r="D30" s="16"/>
      <c r="E30" s="17" t="n">
        <f aca="false">SUM(E10:E29)</f>
        <v>55</v>
      </c>
      <c r="F30" s="17" t="n">
        <f aca="false">SUM(F10:F29)</f>
        <v>720</v>
      </c>
      <c r="G30" s="17" t="n">
        <f aca="false">SUM(G10:G29)</f>
        <v>55</v>
      </c>
      <c r="H30" s="17" t="n">
        <f aca="false">SUM(H10:H29)</f>
        <v>0</v>
      </c>
      <c r="I30" s="18" t="n">
        <f aca="false">SUM(I10:I29)</f>
        <v>720</v>
      </c>
    </row>
    <row r="32" customFormat="false" ht="15" hidden="false" customHeight="false" outlineLevel="0" collapsed="false">
      <c r="A32" s="3" t="s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8" t="s">
        <v>31</v>
      </c>
      <c r="B33" s="8" t="s">
        <v>32</v>
      </c>
      <c r="C33" s="8" t="s">
        <v>33</v>
      </c>
      <c r="D33" s="8" t="s">
        <v>34</v>
      </c>
      <c r="E33" s="8" t="s">
        <v>35</v>
      </c>
      <c r="F33" s="8" t="s">
        <v>36</v>
      </c>
      <c r="G33" s="8" t="s">
        <v>37</v>
      </c>
      <c r="H33" s="8" t="s">
        <v>38</v>
      </c>
      <c r="I33" s="8" t="s">
        <v>39</v>
      </c>
      <c r="J33" s="8" t="s">
        <v>40</v>
      </c>
      <c r="K33" s="8" t="s">
        <v>41</v>
      </c>
      <c r="L33" s="8" t="s">
        <v>42</v>
      </c>
    </row>
    <row r="34" customFormat="false" ht="15" hidden="false" customHeight="false" outlineLevel="0" collapsed="false">
      <c r="A34" s="19" t="s">
        <v>43</v>
      </c>
      <c r="B34" s="20" t="s">
        <v>44</v>
      </c>
      <c r="C34" s="20" t="s">
        <v>45</v>
      </c>
      <c r="D34" s="20" t="s">
        <v>45</v>
      </c>
      <c r="E34" s="20" t="s">
        <v>45</v>
      </c>
      <c r="F34" s="20" t="s">
        <v>45</v>
      </c>
      <c r="G34" s="20"/>
      <c r="H34" s="20"/>
      <c r="I34" s="20"/>
      <c r="J34" s="20"/>
      <c r="K34" s="17" t="n">
        <f aca="false">IFERROR(VALUE(MID(B34,FIND("-",B34)+1,FIND("-",B34,FIND("-",B34)+1)-FIND("-",B34)-1)),0)+IFERROR(VALUE(MID(C34,FIND("-",C34)+1,FIND("-",C34,FIND("-",C34)+1)-FIND("-",C34)-1)),0)+IFERROR(VALUE(MID(D34,FIND("-",D34)+1,FIND("-",D34,FIND("-",D34)+1)-FIND("-",D34)-1)),0)+IFERROR(VALUE(MID(E34,FIND("-",E34)+1,FIND("-",E34,FIND("-",E34)+1)-FIND("-",E34)-1)),0)+IFERROR(VALUE(MID(F34,FIND("-",F34)+1,FIND("-",F34,FIND("-",F34)+1)-FIND("-",F34)-1)),0)+IFERROR(VALUE(MID(G34,FIND("-",G34)+1,FIND("-",G34,FIND("-",G34)+1)-FIND("-",G34)-1)),0)+IFERROR(VALUE(MID(H34,FIND("-",H34)+1,FIND("-",H34,FIND("-",H34)+1)-FIND("-",H34)-1)),0)+IFERROR(VALUE(MID(I34,FIND("-",I34)+1,FIND("-",I34,FIND("-",I34)+1)-FIND("-",I34)-1)),0)+IFERROR(VALUE(MID(J34,FIND("-",J34)+1,FIND("-",J34,FIND("-",J34)+1)-FIND("-",J34)-1)),0)</f>
        <v>72</v>
      </c>
      <c r="L34" s="16" t="str">
        <f aca="false">IF(ROW()-33&gt;$C$5,"— unused —",IF(K34=0,"empty",IF(K34=$C$6,"OK 72",IF(K34&gt;$C$6,"OVER "&amp;K34,"SHORT "&amp;($C$6-K34)))))</f>
        <v>OK 72</v>
      </c>
    </row>
    <row r="35" customFormat="false" ht="15" hidden="false" customHeight="false" outlineLevel="0" collapsed="false">
      <c r="A35" s="19" t="s">
        <v>46</v>
      </c>
      <c r="B35" s="20" t="s">
        <v>44</v>
      </c>
      <c r="C35" s="20" t="s">
        <v>45</v>
      </c>
      <c r="D35" s="20" t="s">
        <v>45</v>
      </c>
      <c r="E35" s="20" t="s">
        <v>45</v>
      </c>
      <c r="F35" s="20" t="s">
        <v>45</v>
      </c>
      <c r="G35" s="20"/>
      <c r="H35" s="20"/>
      <c r="I35" s="20"/>
      <c r="J35" s="20"/>
      <c r="K35" s="17" t="n">
        <f aca="false">IFERROR(VALUE(MID(B35,FIND("-",B35)+1,FIND("-",B35,FIND("-",B35)+1)-FIND("-",B35)-1)),0)+IFERROR(VALUE(MID(C35,FIND("-",C35)+1,FIND("-",C35,FIND("-",C35)+1)-FIND("-",C35)-1)),0)+IFERROR(VALUE(MID(D35,FIND("-",D35)+1,FIND("-",D35,FIND("-",D35)+1)-FIND("-",D35)-1)),0)+IFERROR(VALUE(MID(E35,FIND("-",E35)+1,FIND("-",E35,FIND("-",E35)+1)-FIND("-",E35)-1)),0)+IFERROR(VALUE(MID(F35,FIND("-",F35)+1,FIND("-",F35,FIND("-",F35)+1)-FIND("-",F35)-1)),0)+IFERROR(VALUE(MID(G35,FIND("-",G35)+1,FIND("-",G35,FIND("-",G35)+1)-FIND("-",G35)-1)),0)+IFERROR(VALUE(MID(H35,FIND("-",H35)+1,FIND("-",H35,FIND("-",H35)+1)-FIND("-",H35)-1)),0)+IFERROR(VALUE(MID(I35,FIND("-",I35)+1,FIND("-",I35,FIND("-",I35)+1)-FIND("-",I35)-1)),0)+IFERROR(VALUE(MID(J35,FIND("-",J35)+1,FIND("-",J35,FIND("-",J35)+1)-FIND("-",J35)-1)),0)</f>
        <v>72</v>
      </c>
      <c r="L35" s="16" t="str">
        <f aca="false">IF(ROW()-33&gt;$C$5,"— unused —",IF(K35=0,"empty",IF(K35=$C$6,"OK 72",IF(K35&gt;$C$6,"OVER "&amp;K35,"SHORT "&amp;($C$6-K35)))))</f>
        <v>OK 72</v>
      </c>
    </row>
    <row r="36" customFormat="false" ht="15" hidden="false" customHeight="false" outlineLevel="0" collapsed="false">
      <c r="A36" s="19" t="s">
        <v>47</v>
      </c>
      <c r="B36" s="20" t="s">
        <v>48</v>
      </c>
      <c r="C36" s="20" t="s">
        <v>45</v>
      </c>
      <c r="D36" s="20" t="s">
        <v>45</v>
      </c>
      <c r="E36" s="20" t="s">
        <v>45</v>
      </c>
      <c r="F36" s="20" t="s">
        <v>45</v>
      </c>
      <c r="G36" s="20"/>
      <c r="H36" s="20"/>
      <c r="I36" s="20"/>
      <c r="J36" s="20"/>
      <c r="K36" s="17" t="n">
        <f aca="false">IFERROR(VALUE(MID(B36,FIND("-",B36)+1,FIND("-",B36,FIND("-",B36)+1)-FIND("-",B36)-1)),0)+IFERROR(VALUE(MID(C36,FIND("-",C36)+1,FIND("-",C36,FIND("-",C36)+1)-FIND("-",C36)-1)),0)+IFERROR(VALUE(MID(D36,FIND("-",D36)+1,FIND("-",D36,FIND("-",D36)+1)-FIND("-",D36)-1)),0)+IFERROR(VALUE(MID(E36,FIND("-",E36)+1,FIND("-",E36,FIND("-",E36)+1)-FIND("-",E36)-1)),0)+IFERROR(VALUE(MID(F36,FIND("-",F36)+1,FIND("-",F36,FIND("-",F36)+1)-FIND("-",F36)-1)),0)+IFERROR(VALUE(MID(G36,FIND("-",G36)+1,FIND("-",G36,FIND("-",G36)+1)-FIND("-",G36)-1)),0)+IFERROR(VALUE(MID(H36,FIND("-",H36)+1,FIND("-",H36,FIND("-",H36)+1)-FIND("-",H36)-1)),0)+IFERROR(VALUE(MID(I36,FIND("-",I36)+1,FIND("-",I36,FIND("-",I36)+1)-FIND("-",I36)-1)),0)+IFERROR(VALUE(MID(J36,FIND("-",J36)+1,FIND("-",J36,FIND("-",J36)+1)-FIND("-",J36)-1)),0)</f>
        <v>72</v>
      </c>
      <c r="L36" s="16" t="str">
        <f aca="false">IF(ROW()-33&gt;$C$5,"— unused —",IF(K36=0,"empty",IF(K36=$C$6,"OK 72",IF(K36&gt;$C$6,"OVER "&amp;K36,"SHORT "&amp;($C$6-K36)))))</f>
        <v>OK 72</v>
      </c>
    </row>
    <row r="37" customFormat="false" ht="15" hidden="false" customHeight="false" outlineLevel="0" collapsed="false">
      <c r="A37" s="19" t="s">
        <v>49</v>
      </c>
      <c r="B37" s="20" t="s">
        <v>48</v>
      </c>
      <c r="C37" s="20" t="s">
        <v>50</v>
      </c>
      <c r="D37" s="20" t="s">
        <v>50</v>
      </c>
      <c r="E37" s="20" t="s">
        <v>50</v>
      </c>
      <c r="F37" s="20" t="s">
        <v>50</v>
      </c>
      <c r="G37" s="20"/>
      <c r="H37" s="20"/>
      <c r="I37" s="20"/>
      <c r="J37" s="20"/>
      <c r="K37" s="17" t="n">
        <f aca="false">IFERROR(VALUE(MID(B37,FIND("-",B37)+1,FIND("-",B37,FIND("-",B37)+1)-FIND("-",B37)-1)),0)+IFERROR(VALUE(MID(C37,FIND("-",C37)+1,FIND("-",C37,FIND("-",C37)+1)-FIND("-",C37)-1)),0)+IFERROR(VALUE(MID(D37,FIND("-",D37)+1,FIND("-",D37,FIND("-",D37)+1)-FIND("-",D37)-1)),0)+IFERROR(VALUE(MID(E37,FIND("-",E37)+1,FIND("-",E37,FIND("-",E37)+1)-FIND("-",E37)-1)),0)+IFERROR(VALUE(MID(F37,FIND("-",F37)+1,FIND("-",F37,FIND("-",F37)+1)-FIND("-",F37)-1)),0)+IFERROR(VALUE(MID(G37,FIND("-",G37)+1,FIND("-",G37,FIND("-",G37)+1)-FIND("-",G37)-1)),0)+IFERROR(VALUE(MID(H37,FIND("-",H37)+1,FIND("-",H37,FIND("-",H37)+1)-FIND("-",H37)-1)),0)+IFERROR(VALUE(MID(I37,FIND("-",I37)+1,FIND("-",I37,FIND("-",I37)+1)-FIND("-",I37)-1)),0)+IFERROR(VALUE(MID(J37,FIND("-",J37)+1,FIND("-",J37,FIND("-",J37)+1)-FIND("-",J37)-1)),0)</f>
        <v>72</v>
      </c>
      <c r="L37" s="16" t="str">
        <f aca="false">IF(ROW()-33&gt;$C$5,"— unused —",IF(K37=0,"empty",IF(K37=$C$6,"OK 72",IF(K37&gt;$C$6,"OVER "&amp;K37,"SHORT "&amp;($C$6-K37)))))</f>
        <v>OK 72</v>
      </c>
    </row>
    <row r="38" customFormat="false" ht="15" hidden="false" customHeight="false" outlineLevel="0" collapsed="false">
      <c r="A38" s="19" t="s">
        <v>51</v>
      </c>
      <c r="B38" s="20" t="s">
        <v>48</v>
      </c>
      <c r="C38" s="20" t="s">
        <v>50</v>
      </c>
      <c r="D38" s="20" t="s">
        <v>50</v>
      </c>
      <c r="E38" s="20" t="s">
        <v>50</v>
      </c>
      <c r="F38" s="20" t="s">
        <v>50</v>
      </c>
      <c r="G38" s="20"/>
      <c r="H38" s="20"/>
      <c r="I38" s="20"/>
      <c r="J38" s="20"/>
      <c r="K38" s="17" t="n">
        <f aca="false">IFERROR(VALUE(MID(B38,FIND("-",B38)+1,FIND("-",B38,FIND("-",B38)+1)-FIND("-",B38)-1)),0)+IFERROR(VALUE(MID(C38,FIND("-",C38)+1,FIND("-",C38,FIND("-",C38)+1)-FIND("-",C38)-1)),0)+IFERROR(VALUE(MID(D38,FIND("-",D38)+1,FIND("-",D38,FIND("-",D38)+1)-FIND("-",D38)-1)),0)+IFERROR(VALUE(MID(E38,FIND("-",E38)+1,FIND("-",E38,FIND("-",E38)+1)-FIND("-",E38)-1)),0)+IFERROR(VALUE(MID(F38,FIND("-",F38)+1,FIND("-",F38,FIND("-",F38)+1)-FIND("-",F38)-1)),0)+IFERROR(VALUE(MID(G38,FIND("-",G38)+1,FIND("-",G38,FIND("-",G38)+1)-FIND("-",G38)-1)),0)+IFERROR(VALUE(MID(H38,FIND("-",H38)+1,FIND("-",H38,FIND("-",H38)+1)-FIND("-",H38)-1)),0)+IFERROR(VALUE(MID(I38,FIND("-",I38)+1,FIND("-",I38,FIND("-",I38)+1)-FIND("-",I38)-1)),0)+IFERROR(VALUE(MID(J38,FIND("-",J38)+1,FIND("-",J38,FIND("-",J38)+1)-FIND("-",J38)-1)),0)</f>
        <v>72</v>
      </c>
      <c r="L38" s="16" t="str">
        <f aca="false">IF(ROW()-33&gt;$C$5,"— unused —",IF(K38=0,"empty",IF(K38=$C$6,"OK 72",IF(K38&gt;$C$6,"OVER "&amp;K38,"SHORT "&amp;($C$6-K38)))))</f>
        <v>OK 72</v>
      </c>
    </row>
    <row r="39" customFormat="false" ht="15" hidden="false" customHeight="false" outlineLevel="0" collapsed="false">
      <c r="A39" s="19" t="s">
        <v>52</v>
      </c>
      <c r="B39" s="20" t="s">
        <v>53</v>
      </c>
      <c r="C39" s="20" t="s">
        <v>53</v>
      </c>
      <c r="D39" s="20" t="s">
        <v>53</v>
      </c>
      <c r="E39" s="20" t="s">
        <v>53</v>
      </c>
      <c r="F39" s="20" t="s">
        <v>53</v>
      </c>
      <c r="G39" s="20" t="s">
        <v>53</v>
      </c>
      <c r="H39" s="20"/>
      <c r="I39" s="20"/>
      <c r="J39" s="20"/>
      <c r="K39" s="17" t="n">
        <f aca="false">IFERROR(VALUE(MID(B39,FIND("-",B39)+1,FIND("-",B39,FIND("-",B39)+1)-FIND("-",B39)-1)),0)+IFERROR(VALUE(MID(C39,FIND("-",C39)+1,FIND("-",C39,FIND("-",C39)+1)-FIND("-",C39)-1)),0)+IFERROR(VALUE(MID(D39,FIND("-",D39)+1,FIND("-",D39,FIND("-",D39)+1)-FIND("-",D39)-1)),0)+IFERROR(VALUE(MID(E39,FIND("-",E39)+1,FIND("-",E39,FIND("-",E39)+1)-FIND("-",E39)-1)),0)+IFERROR(VALUE(MID(F39,FIND("-",F39)+1,FIND("-",F39,FIND("-",F39)+1)-FIND("-",F39)-1)),0)+IFERROR(VALUE(MID(G39,FIND("-",G39)+1,FIND("-",G39,FIND("-",G39)+1)-FIND("-",G39)-1)),0)+IFERROR(VALUE(MID(H39,FIND("-",H39)+1,FIND("-",H39,FIND("-",H39)+1)-FIND("-",H39)-1)),0)+IFERROR(VALUE(MID(I39,FIND("-",I39)+1,FIND("-",I39,FIND("-",I39)+1)-FIND("-",I39)-1)),0)+IFERROR(VALUE(MID(J39,FIND("-",J39)+1,FIND("-",J39,FIND("-",J39)+1)-FIND("-",J39)-1)),0)</f>
        <v>72</v>
      </c>
      <c r="L39" s="16" t="str">
        <f aca="false">IF(ROW()-33&gt;$C$5,"— unused —",IF(K39=0,"empty",IF(K39=$C$6,"OK 72",IF(K39&gt;$C$6,"OVER "&amp;K39,"SHORT "&amp;($C$6-K39)))))</f>
        <v>OK 72</v>
      </c>
    </row>
    <row r="40" customFormat="false" ht="15" hidden="false" customHeight="false" outlineLevel="0" collapsed="false">
      <c r="A40" s="19" t="s">
        <v>54</v>
      </c>
      <c r="B40" s="20" t="s">
        <v>53</v>
      </c>
      <c r="C40" s="20" t="s">
        <v>53</v>
      </c>
      <c r="D40" s="20" t="s">
        <v>53</v>
      </c>
      <c r="E40" s="20" t="s">
        <v>53</v>
      </c>
      <c r="F40" s="20" t="s">
        <v>53</v>
      </c>
      <c r="G40" s="20" t="s">
        <v>53</v>
      </c>
      <c r="H40" s="20"/>
      <c r="I40" s="20"/>
      <c r="J40" s="20"/>
      <c r="K40" s="17" t="n">
        <f aca="false">IFERROR(VALUE(MID(B40,FIND("-",B40)+1,FIND("-",B40,FIND("-",B40)+1)-FIND("-",B40)-1)),0)+IFERROR(VALUE(MID(C40,FIND("-",C40)+1,FIND("-",C40,FIND("-",C40)+1)-FIND("-",C40)-1)),0)+IFERROR(VALUE(MID(D40,FIND("-",D40)+1,FIND("-",D40,FIND("-",D40)+1)-FIND("-",D40)-1)),0)+IFERROR(VALUE(MID(E40,FIND("-",E40)+1,FIND("-",E40,FIND("-",E40)+1)-FIND("-",E40)-1)),0)+IFERROR(VALUE(MID(F40,FIND("-",F40)+1,FIND("-",F40,FIND("-",F40)+1)-FIND("-",F40)-1)),0)+IFERROR(VALUE(MID(G40,FIND("-",G40)+1,FIND("-",G40,FIND("-",G40)+1)-FIND("-",G40)-1)),0)+IFERROR(VALUE(MID(H40,FIND("-",H40)+1,FIND("-",H40,FIND("-",H40)+1)-FIND("-",H40)-1)),0)+IFERROR(VALUE(MID(I40,FIND("-",I40)+1,FIND("-",I40,FIND("-",I40)+1)-FIND("-",I40)-1)),0)+IFERROR(VALUE(MID(J40,FIND("-",J40)+1,FIND("-",J40,FIND("-",J40)+1)-FIND("-",J40)-1)),0)</f>
        <v>72</v>
      </c>
      <c r="L40" s="16" t="str">
        <f aca="false">IF(ROW()-33&gt;$C$5,"— unused —",IF(K40=0,"empty",IF(K40=$C$6,"OK 72",IF(K40&gt;$C$6,"OVER "&amp;K40,"SHORT "&amp;($C$6-K40)))))</f>
        <v>OK 72</v>
      </c>
    </row>
    <row r="41" customFormat="false" ht="15" hidden="false" customHeight="false" outlineLevel="0" collapsed="false">
      <c r="A41" s="19" t="s">
        <v>55</v>
      </c>
      <c r="B41" s="20" t="s">
        <v>53</v>
      </c>
      <c r="C41" s="20" t="s">
        <v>53</v>
      </c>
      <c r="D41" s="20" t="s">
        <v>53</v>
      </c>
      <c r="E41" s="20" t="s">
        <v>53</v>
      </c>
      <c r="F41" s="20" t="s">
        <v>53</v>
      </c>
      <c r="G41" s="20" t="s">
        <v>53</v>
      </c>
      <c r="H41" s="20"/>
      <c r="I41" s="20"/>
      <c r="J41" s="20"/>
      <c r="K41" s="17" t="n">
        <f aca="false">IFERROR(VALUE(MID(B41,FIND("-",B41)+1,FIND("-",B41,FIND("-",B41)+1)-FIND("-",B41)-1)),0)+IFERROR(VALUE(MID(C41,FIND("-",C41)+1,FIND("-",C41,FIND("-",C41)+1)-FIND("-",C41)-1)),0)+IFERROR(VALUE(MID(D41,FIND("-",D41)+1,FIND("-",D41,FIND("-",D41)+1)-FIND("-",D41)-1)),0)+IFERROR(VALUE(MID(E41,FIND("-",E41)+1,FIND("-",E41,FIND("-",E41)+1)-FIND("-",E41)-1)),0)+IFERROR(VALUE(MID(F41,FIND("-",F41)+1,FIND("-",F41,FIND("-",F41)+1)-FIND("-",F41)-1)),0)+IFERROR(VALUE(MID(G41,FIND("-",G41)+1,FIND("-",G41,FIND("-",G41)+1)-FIND("-",G41)-1)),0)+IFERROR(VALUE(MID(H41,FIND("-",H41)+1,FIND("-",H41,FIND("-",H41)+1)-FIND("-",H41)-1)),0)+IFERROR(VALUE(MID(I41,FIND("-",I41)+1,FIND("-",I41,FIND("-",I41)+1)-FIND("-",I41)-1)),0)+IFERROR(VALUE(MID(J41,FIND("-",J41)+1,FIND("-",J41,FIND("-",J41)+1)-FIND("-",J41)-1)),0)</f>
        <v>72</v>
      </c>
      <c r="L41" s="16" t="str">
        <f aca="false">IF(ROW()-33&gt;$C$5,"— unused —",IF(K41=0,"empty",IF(K41=$C$6,"OK 72",IF(K41&gt;$C$6,"OVER "&amp;K41,"SHORT "&amp;($C$6-K41)))))</f>
        <v>OK 72</v>
      </c>
    </row>
    <row r="42" customFormat="false" ht="15" hidden="false" customHeight="false" outlineLevel="0" collapsed="false">
      <c r="A42" s="19" t="s">
        <v>56</v>
      </c>
      <c r="B42" s="20" t="s">
        <v>53</v>
      </c>
      <c r="C42" s="20" t="s">
        <v>53</v>
      </c>
      <c r="D42" s="20" t="s">
        <v>53</v>
      </c>
      <c r="E42" s="20" t="s">
        <v>53</v>
      </c>
      <c r="F42" s="20" t="s">
        <v>53</v>
      </c>
      <c r="G42" s="20" t="s">
        <v>53</v>
      </c>
      <c r="H42" s="20"/>
      <c r="I42" s="20"/>
      <c r="J42" s="20"/>
      <c r="K42" s="17" t="n">
        <f aca="false">IFERROR(VALUE(MID(B42,FIND("-",B42)+1,FIND("-",B42,FIND("-",B42)+1)-FIND("-",B42)-1)),0)+IFERROR(VALUE(MID(C42,FIND("-",C42)+1,FIND("-",C42,FIND("-",C42)+1)-FIND("-",C42)-1)),0)+IFERROR(VALUE(MID(D42,FIND("-",D42)+1,FIND("-",D42,FIND("-",D42)+1)-FIND("-",D42)-1)),0)+IFERROR(VALUE(MID(E42,FIND("-",E42)+1,FIND("-",E42,FIND("-",E42)+1)-FIND("-",E42)-1)),0)+IFERROR(VALUE(MID(F42,FIND("-",F42)+1,FIND("-",F42,FIND("-",F42)+1)-FIND("-",F42)-1)),0)+IFERROR(VALUE(MID(G42,FIND("-",G42)+1,FIND("-",G42,FIND("-",G42)+1)-FIND("-",G42)-1)),0)+IFERROR(VALUE(MID(H42,FIND("-",H42)+1,FIND("-",H42,FIND("-",H42)+1)-FIND("-",H42)-1)),0)+IFERROR(VALUE(MID(I42,FIND("-",I42)+1,FIND("-",I42,FIND("-",I42)+1)-FIND("-",I42)-1)),0)+IFERROR(VALUE(MID(J42,FIND("-",J42)+1,FIND("-",J42,FIND("-",J42)+1)-FIND("-",J42)-1)),0)</f>
        <v>72</v>
      </c>
      <c r="L42" s="16" t="str">
        <f aca="false">IF(ROW()-33&gt;$C$5,"— unused —",IF(K42=0,"empty",IF(K42=$C$6,"OK 72",IF(K42&gt;$C$6,"OVER "&amp;K42,"SHORT "&amp;($C$6-K42)))))</f>
        <v>OK 72</v>
      </c>
    </row>
    <row r="43" customFormat="false" ht="15" hidden="false" customHeight="false" outlineLevel="0" collapsed="false">
      <c r="A43" s="19" t="s">
        <v>57</v>
      </c>
      <c r="B43" s="20" t="s">
        <v>53</v>
      </c>
      <c r="C43" s="20" t="s">
        <v>53</v>
      </c>
      <c r="D43" s="20" t="s">
        <v>53</v>
      </c>
      <c r="E43" s="20" t="s">
        <v>53</v>
      </c>
      <c r="F43" s="20" t="s">
        <v>53</v>
      </c>
      <c r="G43" s="20" t="s">
        <v>53</v>
      </c>
      <c r="H43" s="20"/>
      <c r="I43" s="20"/>
      <c r="J43" s="20"/>
      <c r="K43" s="17" t="n">
        <f aca="false">IFERROR(VALUE(MID(B43,FIND("-",B43)+1,FIND("-",B43,FIND("-",B43)+1)-FIND("-",B43)-1)),0)+IFERROR(VALUE(MID(C43,FIND("-",C43)+1,FIND("-",C43,FIND("-",C43)+1)-FIND("-",C43)-1)),0)+IFERROR(VALUE(MID(D43,FIND("-",D43)+1,FIND("-",D43,FIND("-",D43)+1)-FIND("-",D43)-1)),0)+IFERROR(VALUE(MID(E43,FIND("-",E43)+1,FIND("-",E43,FIND("-",E43)+1)-FIND("-",E43)-1)),0)+IFERROR(VALUE(MID(F43,FIND("-",F43)+1,FIND("-",F43,FIND("-",F43)+1)-FIND("-",F43)-1)),0)+IFERROR(VALUE(MID(G43,FIND("-",G43)+1,FIND("-",G43,FIND("-",G43)+1)-FIND("-",G43)-1)),0)+IFERROR(VALUE(MID(H43,FIND("-",H43)+1,FIND("-",H43,FIND("-",H43)+1)-FIND("-",H43)-1)),0)+IFERROR(VALUE(MID(I43,FIND("-",I43)+1,FIND("-",I43,FIND("-",I43)+1)-FIND("-",I43)-1)),0)+IFERROR(VALUE(MID(J43,FIND("-",J43)+1,FIND("-",J43,FIND("-",J43)+1)-FIND("-",J43)-1)),0)</f>
        <v>72</v>
      </c>
      <c r="L43" s="16" t="str">
        <f aca="false">IF(ROW()-33&gt;$C$5,"— unused —",IF(K43=0,"empty",IF(K43=$C$6,"OK 72",IF(K43&gt;$C$6,"OVER "&amp;K43,"SHORT "&amp;($C$6-K43)))))</f>
        <v>OK 72</v>
      </c>
    </row>
    <row r="44" customFormat="false" ht="15" hidden="false" customHeight="false" outlineLevel="0" collapsed="false">
      <c r="A44" s="19" t="s">
        <v>58</v>
      </c>
      <c r="B44" s="20"/>
      <c r="C44" s="20"/>
      <c r="D44" s="20"/>
      <c r="E44" s="20"/>
      <c r="F44" s="20"/>
      <c r="G44" s="20"/>
      <c r="H44" s="20"/>
      <c r="I44" s="20"/>
      <c r="J44" s="20"/>
      <c r="K44" s="17" t="n">
        <f aca="false">IFERROR(VALUE(MID(B44,FIND("-",B44)+1,FIND("-",B44,FIND("-",B44)+1)-FIND("-",B44)-1)),0)+IFERROR(VALUE(MID(C44,FIND("-",C44)+1,FIND("-",C44,FIND("-",C44)+1)-FIND("-",C44)-1)),0)+IFERROR(VALUE(MID(D44,FIND("-",D44)+1,FIND("-",D44,FIND("-",D44)+1)-FIND("-",D44)-1)),0)+IFERROR(VALUE(MID(E44,FIND("-",E44)+1,FIND("-",E44,FIND("-",E44)+1)-FIND("-",E44)-1)),0)+IFERROR(VALUE(MID(F44,FIND("-",F44)+1,FIND("-",F44,FIND("-",F44)+1)-FIND("-",F44)-1)),0)+IFERROR(VALUE(MID(G44,FIND("-",G44)+1,FIND("-",G44,FIND("-",G44)+1)-FIND("-",G44)-1)),0)+IFERROR(VALUE(MID(H44,FIND("-",H44)+1,FIND("-",H44,FIND("-",H44)+1)-FIND("-",H44)-1)),0)+IFERROR(VALUE(MID(I44,FIND("-",I44)+1,FIND("-",I44,FIND("-",I44)+1)-FIND("-",I44)-1)),0)+IFERROR(VALUE(MID(J44,FIND("-",J44)+1,FIND("-",J44,FIND("-",J44)+1)-FIND("-",J44)-1)),0)</f>
        <v>0</v>
      </c>
      <c r="L44" s="16" t="str">
        <f aca="false">IF(ROW()-33&gt;$C$5,"— unused —",IF(K44=0,"empty",IF(K44=$C$6,"OK 72",IF(K44&gt;$C$6,"OVER "&amp;K44,"SHORT "&amp;($C$6-K44)))))</f>
        <v>— unused —</v>
      </c>
    </row>
    <row r="45" customFormat="false" ht="15" hidden="false" customHeight="false" outlineLevel="0" collapsed="false">
      <c r="A45" s="19" t="s">
        <v>59</v>
      </c>
      <c r="B45" s="20"/>
      <c r="C45" s="20"/>
      <c r="D45" s="20"/>
      <c r="E45" s="20"/>
      <c r="F45" s="20"/>
      <c r="G45" s="20"/>
      <c r="H45" s="20"/>
      <c r="I45" s="20"/>
      <c r="J45" s="20"/>
      <c r="K45" s="17" t="n">
        <f aca="false">IFERROR(VALUE(MID(B45,FIND("-",B45)+1,FIND("-",B45,FIND("-",B45)+1)-FIND("-",B45)-1)),0)+IFERROR(VALUE(MID(C45,FIND("-",C45)+1,FIND("-",C45,FIND("-",C45)+1)-FIND("-",C45)-1)),0)+IFERROR(VALUE(MID(D45,FIND("-",D45)+1,FIND("-",D45,FIND("-",D45)+1)-FIND("-",D45)-1)),0)+IFERROR(VALUE(MID(E45,FIND("-",E45)+1,FIND("-",E45,FIND("-",E45)+1)-FIND("-",E45)-1)),0)+IFERROR(VALUE(MID(F45,FIND("-",F45)+1,FIND("-",F45,FIND("-",F45)+1)-FIND("-",F45)-1)),0)+IFERROR(VALUE(MID(G45,FIND("-",G45)+1,FIND("-",G45,FIND("-",G45)+1)-FIND("-",G45)-1)),0)+IFERROR(VALUE(MID(H45,FIND("-",H45)+1,FIND("-",H45,FIND("-",H45)+1)-FIND("-",H45)-1)),0)+IFERROR(VALUE(MID(I45,FIND("-",I45)+1,FIND("-",I45,FIND("-",I45)+1)-FIND("-",I45)-1)),0)+IFERROR(VALUE(MID(J45,FIND("-",J45)+1,FIND("-",J45,FIND("-",J45)+1)-FIND("-",J45)-1)),0)</f>
        <v>0</v>
      </c>
      <c r="L45" s="16" t="str">
        <f aca="false">IF(ROW()-33&gt;$C$5,"— unused —",IF(K45=0,"empty",IF(K45=$C$6,"OK 72",IF(K45&gt;$C$6,"OVER "&amp;K45,"SHORT "&amp;($C$6-K45)))))</f>
        <v>— unused —</v>
      </c>
    </row>
    <row r="46" customFormat="false" ht="15" hidden="false" customHeight="false" outlineLevel="0" collapsed="false">
      <c r="A46" s="19" t="s">
        <v>60</v>
      </c>
      <c r="B46" s="20"/>
      <c r="C46" s="20"/>
      <c r="D46" s="20"/>
      <c r="E46" s="20"/>
      <c r="F46" s="20"/>
      <c r="G46" s="20"/>
      <c r="H46" s="20"/>
      <c r="I46" s="20"/>
      <c r="J46" s="20"/>
      <c r="K46" s="17" t="n">
        <f aca="false">IFERROR(VALUE(MID(B46,FIND("-",B46)+1,FIND("-",B46,FIND("-",B46)+1)-FIND("-",B46)-1)),0)+IFERROR(VALUE(MID(C46,FIND("-",C46)+1,FIND("-",C46,FIND("-",C46)+1)-FIND("-",C46)-1)),0)+IFERROR(VALUE(MID(D46,FIND("-",D46)+1,FIND("-",D46,FIND("-",D46)+1)-FIND("-",D46)-1)),0)+IFERROR(VALUE(MID(E46,FIND("-",E46)+1,FIND("-",E46,FIND("-",E46)+1)-FIND("-",E46)-1)),0)+IFERROR(VALUE(MID(F46,FIND("-",F46)+1,FIND("-",F46,FIND("-",F46)+1)-FIND("-",F46)-1)),0)+IFERROR(VALUE(MID(G46,FIND("-",G46)+1,FIND("-",G46,FIND("-",G46)+1)-FIND("-",G46)-1)),0)+IFERROR(VALUE(MID(H46,FIND("-",H46)+1,FIND("-",H46,FIND("-",H46)+1)-FIND("-",H46)-1)),0)+IFERROR(VALUE(MID(I46,FIND("-",I46)+1,FIND("-",I46,FIND("-",I46)+1)-FIND("-",I46)-1)),0)+IFERROR(VALUE(MID(J46,FIND("-",J46)+1,FIND("-",J46,FIND("-",J46)+1)-FIND("-",J46)-1)),0)</f>
        <v>0</v>
      </c>
      <c r="L46" s="16" t="str">
        <f aca="false">IF(ROW()-33&gt;$C$5,"— unused —",IF(K46=0,"empty",IF(K46=$C$6,"OK 72",IF(K46&gt;$C$6,"OVER "&amp;K46,"SHORT "&amp;($C$6-K46)))))</f>
        <v>— unused —</v>
      </c>
    </row>
    <row r="47" customFormat="false" ht="15" hidden="false" customHeight="false" outlineLevel="0" collapsed="false">
      <c r="A47" s="19" t="s">
        <v>61</v>
      </c>
      <c r="B47" s="20"/>
      <c r="C47" s="20"/>
      <c r="D47" s="20"/>
      <c r="E47" s="20"/>
      <c r="F47" s="20"/>
      <c r="G47" s="20"/>
      <c r="H47" s="20"/>
      <c r="I47" s="20"/>
      <c r="J47" s="20"/>
      <c r="K47" s="17" t="n">
        <f aca="false">IFERROR(VALUE(MID(B47,FIND("-",B47)+1,FIND("-",B47,FIND("-",B47)+1)-FIND("-",B47)-1)),0)+IFERROR(VALUE(MID(C47,FIND("-",C47)+1,FIND("-",C47,FIND("-",C47)+1)-FIND("-",C47)-1)),0)+IFERROR(VALUE(MID(D47,FIND("-",D47)+1,FIND("-",D47,FIND("-",D47)+1)-FIND("-",D47)-1)),0)+IFERROR(VALUE(MID(E47,FIND("-",E47)+1,FIND("-",E47,FIND("-",E47)+1)-FIND("-",E47)-1)),0)+IFERROR(VALUE(MID(F47,FIND("-",F47)+1,FIND("-",F47,FIND("-",F47)+1)-FIND("-",F47)-1)),0)+IFERROR(VALUE(MID(G47,FIND("-",G47)+1,FIND("-",G47,FIND("-",G47)+1)-FIND("-",G47)-1)),0)+IFERROR(VALUE(MID(H47,FIND("-",H47)+1,FIND("-",H47,FIND("-",H47)+1)-FIND("-",H47)-1)),0)+IFERROR(VALUE(MID(I47,FIND("-",I47)+1,FIND("-",I47,FIND("-",I47)+1)-FIND("-",I47)-1)),0)+IFERROR(VALUE(MID(J47,FIND("-",J47)+1,FIND("-",J47,FIND("-",J47)+1)-FIND("-",J47)-1)),0)</f>
        <v>0</v>
      </c>
      <c r="L47" s="16" t="str">
        <f aca="false">IF(ROW()-33&gt;$C$5,"— unused —",IF(K47=0,"empty",IF(K47=$C$6,"OK 72",IF(K47&gt;$C$6,"OVER "&amp;K47,"SHORT "&amp;($C$6-K47)))))</f>
        <v>— unused —</v>
      </c>
    </row>
    <row r="49" customFormat="false" ht="15" hidden="false" customHeight="false" outlineLevel="0" collapsed="false">
      <c r="A49" s="21" t="s">
        <v>62</v>
      </c>
      <c r="B49" s="22" t="s">
        <v>63</v>
      </c>
      <c r="C49" s="23" t="s">
        <v>64</v>
      </c>
      <c r="D49" s="24" t="s">
        <v>65</v>
      </c>
      <c r="E49" s="25" t="s">
        <v>66</v>
      </c>
      <c r="F49" s="26" t="s">
        <v>67</v>
      </c>
      <c r="G49" s="27" t="s">
        <v>68</v>
      </c>
      <c r="H49" s="28" t="s">
        <v>69</v>
      </c>
    </row>
    <row r="50" customFormat="false" ht="15" hidden="false" customHeight="false" outlineLevel="0" collapsed="false">
      <c r="A50" s="21" t="s">
        <v>70</v>
      </c>
      <c r="B50" s="29" t="s">
        <v>15</v>
      </c>
      <c r="C50" s="30" t="s">
        <v>18</v>
      </c>
      <c r="D50" s="31" t="s">
        <v>21</v>
      </c>
      <c r="E50" s="32" t="s">
        <v>71</v>
      </c>
      <c r="F50" s="33" t="s">
        <v>72</v>
      </c>
      <c r="G50" s="34" t="s">
        <v>73</v>
      </c>
      <c r="H50" s="35" t="s">
        <v>74</v>
      </c>
    </row>
    <row r="51" customFormat="false" ht="15" hidden="false" customHeight="false" outlineLevel="0" collapsed="false">
      <c r="A51" s="21" t="s">
        <v>75</v>
      </c>
      <c r="B51" s="36" t="s">
        <v>24</v>
      </c>
      <c r="C51" s="37" t="s">
        <v>16</v>
      </c>
      <c r="D51" s="38" t="s">
        <v>76</v>
      </c>
      <c r="E51" s="39" t="s">
        <v>77</v>
      </c>
      <c r="F51" s="40" t="s">
        <v>78</v>
      </c>
      <c r="G51" s="41" t="s">
        <v>22</v>
      </c>
    </row>
    <row r="52" customFormat="false" ht="15" hidden="false" customHeight="false" outlineLevel="0" collapsed="false">
      <c r="A52" s="2" t="s">
        <v>79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</sheetData>
  <mergeCells count="24">
    <mergeCell ref="A1:N1"/>
    <mergeCell ref="A2:N2"/>
    <mergeCell ref="A4:C4"/>
    <mergeCell ref="A8:H8"/>
    <mergeCell ref="J9:M9"/>
    <mergeCell ref="J10:K10"/>
    <mergeCell ref="L10:M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A30:D30"/>
    <mergeCell ref="A32:L32"/>
    <mergeCell ref="A52:L52"/>
  </mergeCells>
  <conditionalFormatting sqref="B34:J47">
    <cfRule type="expression" priority="2" aboveAverage="0" equalAverage="0" bottom="0" percent="0" rank="0" text="" dxfId="0">
      <formula>AND(B34&lt;&gt;"",IFERROR(MID(B34,FIND("-",B34)+1,FIND("-",B34,FIND("-",B34)+1)-FIND("-",B34)-1),"")="8")</formula>
    </cfRule>
    <cfRule type="expression" priority="3" aboveAverage="0" equalAverage="0" bottom="0" percent="0" rank="0" text="" dxfId="1">
      <formula>AND(B34&lt;&gt;"",IFERROR(MID(B34,FIND("-",B34)+1,FIND("-",B34,FIND("-",B34)+1)-FIND("-",B34)-1),"")="10")</formula>
    </cfRule>
    <cfRule type="expression" priority="4" aboveAverage="0" equalAverage="0" bottom="0" percent="0" rank="0" text="" dxfId="2">
      <formula>AND(B34&lt;&gt;"",IFERROR(MID(B34,FIND("-",B34)+1,FIND("-",B34,FIND("-",B34)+1)-FIND("-",B34)-1),"")="12")</formula>
    </cfRule>
    <cfRule type="expression" priority="5" aboveAverage="0" equalAverage="0" bottom="0" percent="0" rank="0" text="" dxfId="3">
      <formula>AND(B34&lt;&gt;"",IFERROR(MID(B34,FIND("-",B34)+1,FIND("-",B34,FIND("-",B34)+1)-FIND("-",B34)-1),"")="14")</formula>
    </cfRule>
    <cfRule type="expression" priority="6" aboveAverage="0" equalAverage="0" bottom="0" percent="0" rank="0" text="" dxfId="4">
      <formula>AND(B34&lt;&gt;"",IFERROR(MID(B34,FIND("-",B34)+1,FIND("-",B34,FIND("-",B34)+1)-FIND("-",B34)-1),"")="16")</formula>
    </cfRule>
    <cfRule type="expression" priority="7" aboveAverage="0" equalAverage="0" bottom="0" percent="0" rank="0" text="" dxfId="5">
      <formula>AND(B34&lt;&gt;"",IFERROR(MID(B34,FIND("-",B34)+1,FIND("-",B34,FIND("-",B34)+1)-FIND("-",B34)-1),"")="18")</formula>
    </cfRule>
    <cfRule type="expression" priority="8" aboveAverage="0" equalAverage="0" bottom="0" percent="0" rank="0" text="" dxfId="6">
      <formula>AND(B34&lt;&gt;"",IFERROR(MID(B34,FIND("-",B34)+1,FIND("-",B34,FIND("-",B34)+1)-FIND("-",B34)-1),"")="20")</formula>
    </cfRule>
    <cfRule type="expression" priority="9" aboveAverage="0" equalAverage="0" bottom="0" percent="0" rank="0" text="" dxfId="7">
      <formula>AND(B34&lt;&gt;"",IFERROR(LEFT(B34,FIND("-",B34)-1),"")="2x4")</formula>
    </cfRule>
    <cfRule type="expression" priority="10" aboveAverage="0" equalAverage="0" bottom="0" percent="0" rank="0" text="" dxfId="8">
      <formula>AND(B34&lt;&gt;"",IFERROR(LEFT(B34,FIND("-",B34)-1),"")="2x6")</formula>
    </cfRule>
    <cfRule type="expression" priority="11" aboveAverage="0" equalAverage="0" bottom="0" percent="0" rank="0" text="" dxfId="9">
      <formula>AND(B34&lt;&gt;"",IFERROR(LEFT(B34,FIND("-",B34)-1),"")="2x8")</formula>
    </cfRule>
    <cfRule type="expression" priority="12" aboveAverage="0" equalAverage="0" bottom="0" percent="0" rank="0" text="" dxfId="10">
      <formula>AND(B34&lt;&gt;"",IFERROR(LEFT(B34,FIND("-",B34)-1),"")="2x10")</formula>
    </cfRule>
    <cfRule type="expression" priority="13" aboveAverage="0" equalAverage="0" bottom="0" percent="0" rank="0" text="" dxfId="11">
      <formula>AND(B34&lt;&gt;"",IFERROR(LEFT(B34,FIND("-",B34)-1),"")="4x4")</formula>
    </cfRule>
    <cfRule type="expression" priority="14" aboveAverage="0" equalAverage="0" bottom="0" percent="0" rank="0" text="" dxfId="12">
      <formula>AND(B34&lt;&gt;"",IFERROR(LEFT(B34,FIND("-",B34)-1),"")="4x6")</formula>
    </cfRule>
    <cfRule type="expression" priority="15" aboveAverage="0" equalAverage="0" bottom="0" percent="0" rank="0" text="" dxfId="13">
      <formula>AND(B34&lt;&gt;"",IFERROR(LEFT(B34,FIND("-",B34)-1),"")="6x6")</formula>
    </cfRule>
    <cfRule type="expression" priority="16" aboveAverage="0" equalAverage="0" bottom="0" percent="0" rank="0" text="" dxfId="14">
      <formula>AND(B34&lt;&gt;"",IFERROR(MID(B34,FIND("-",B34,FIND("-",B34)+1)+1,9),"")="1")</formula>
    </cfRule>
    <cfRule type="expression" priority="17" aboveAverage="0" equalAverage="0" bottom="0" percent="0" rank="0" text="" dxfId="15">
      <formula>AND(B34&lt;&gt;"",IFERROR(MID(B34,FIND("-",B34,FIND("-",B34)+1)+1,9),"")="2")</formula>
    </cfRule>
    <cfRule type="expression" priority="18" aboveAverage="0" equalAverage="0" bottom="0" percent="0" rank="0" text="" dxfId="16">
      <formula>AND(B34&lt;&gt;"",IFERROR(MID(B34,FIND("-",B34,FIND("-",B34)+1)+1,9),"")="3")</formula>
    </cfRule>
    <cfRule type="expression" priority="19" aboveAverage="0" equalAverage="0" bottom="0" percent="0" rank="0" text="" dxfId="17">
      <formula>AND(B34&lt;&gt;"",IFERROR(MID(B34,FIND("-",B34,FIND("-",B34)+1)+1,9),"")="4")</formula>
    </cfRule>
    <cfRule type="expression" priority="20" aboveAverage="0" equalAverage="0" bottom="0" percent="0" rank="0" text="" dxfId="18">
      <formula>AND(B34&lt;&gt;"",IFERROR(MID(B34,FIND("-",B34,FIND("-",B34)+1)+1,9),"")="2P")</formula>
    </cfRule>
    <cfRule type="expression" priority="21" aboveAverage="0" equalAverage="0" bottom="0" percent="0" rank="0" text="" dxfId="19">
      <formula>AND(B34&lt;&gt;"",IFERROR(MID(B34,FIND("-",B34,FIND("-",B34)+1)+1,9),"")="MSR")</formula>
    </cfRule>
    <cfRule type="expression" priority="22" aboveAverage="0" equalAverage="0" bottom="0" percent="0" rank="0" text="" dxfId="20">
      <formula>ROW()-33&gt;$C$5</formula>
    </cfRule>
  </conditionalFormatting>
  <conditionalFormatting sqref="L34:L47">
    <cfRule type="expression" priority="23" aboveAverage="0" equalAverage="0" bottom="0" percent="0" rank="0" text="" dxfId="21">
      <formula>LEFT(L34,2)="OK"</formula>
    </cfRule>
    <cfRule type="expression" priority="24" aboveAverage="0" equalAverage="0" bottom="0" percent="0" rank="0" text="" dxfId="22">
      <formula>LEFT(L34,4)="OVER"</formula>
    </cfRule>
    <cfRule type="expression" priority="25" aboveAverage="0" equalAverage="0" bottom="0" percent="0" rank="0" text="" dxfId="23">
      <formula>LEFT(L34,5)="SHORT"</formula>
    </cfRule>
    <cfRule type="expression" priority="26" aboveAverage="0" equalAverage="0" bottom="0" percent="0" rank="0" text="" dxfId="24">
      <formula>L34="— unused —"</formula>
    </cfRule>
  </conditionalFormatting>
  <conditionalFormatting sqref="H10:H29">
    <cfRule type="cellIs" priority="27" operator="lessThan" aboveAverage="0" equalAverage="0" bottom="0" percent="0" rank="0" text="" dxfId="22">
      <formula>0</formula>
    </cfRule>
  </conditionalFormatting>
  <dataValidations count="4">
    <dataValidation allowBlank="false" errorStyle="stop" operator="between" showDropDown="false" showErrorMessage="false" showInputMessage="false" sqref="C5" type="list">
      <formula1>"10,14"</formula1>
      <formula2>0</formula2>
    </dataValidation>
    <dataValidation allowBlank="true" errorStyle="stop" operator="between" showDropDown="false" showErrorMessage="false" showInputMessage="false" sqref="B10:B29" type="list">
      <formula1>"2x4,2x6,2x8,2x10,4x4,4x6,6x6"</formula1>
      <formula2>0</formula2>
    </dataValidation>
    <dataValidation allowBlank="true" errorStyle="stop" operator="between" showDropDown="false" showErrorMessage="false" showInputMessage="false" sqref="C10:C29" type="list">
      <formula1>"8,10,12,14,16,18,20"</formula1>
      <formula2>0</formula2>
    </dataValidation>
    <dataValidation allowBlank="true" errorStyle="stop" operator="between" showDropDown="false" showErrorMessage="false" showInputMessage="false" sqref="D10:D29" type="list">
      <formula1>"1,2,3,4,2P,MSR"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1"/>
    <col collapsed="false" customWidth="true" hidden="false" outlineLevel="0" max="5" min="5" style="0" width="13"/>
    <col collapsed="false" customWidth="true" hidden="false" outlineLevel="0" max="10" min="6" style="0" width="11"/>
    <col collapsed="false" customWidth="true" hidden="false" outlineLevel="0" max="11" min="11" style="0" width="7"/>
    <col collapsed="false" customWidth="true" hidden="false" outlineLevel="0" max="12" min="12" style="0" width="13"/>
  </cols>
  <sheetData>
    <row r="1" customFormat="false" ht="18.55" hidden="false" customHeight="false" outlineLevel="0" collapsed="false">
      <c r="A1" s="42" t="s">
        <v>80</v>
      </c>
      <c r="B1" s="42"/>
      <c r="C1" s="42"/>
      <c r="D1" s="42"/>
      <c r="E1" s="42"/>
      <c r="F1" s="42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82</v>
      </c>
      <c r="B4" s="18" t="s">
        <v>83</v>
      </c>
    </row>
    <row r="5" customFormat="false" ht="15" hidden="false" customHeight="false" outlineLevel="0" collapsed="false">
      <c r="A5" s="4" t="s">
        <v>84</v>
      </c>
      <c r="B5" s="18" t="n">
        <f aca="false">Planner!C5</f>
        <v>10</v>
      </c>
    </row>
    <row r="6" customFormat="false" ht="15" hidden="false" customHeight="false" outlineLevel="0" collapsed="false">
      <c r="A6" s="4" t="s">
        <v>17</v>
      </c>
      <c r="B6" s="18" t="n">
        <f aca="false">Planner!F30</f>
        <v>720</v>
      </c>
    </row>
    <row r="7" customFormat="false" ht="15" hidden="false" customHeight="false" outlineLevel="0" collapsed="false">
      <c r="A7" s="4" t="s">
        <v>85</v>
      </c>
      <c r="B7" s="43" t="n">
        <f aca="true">TODAY()</f>
        <v>46187</v>
      </c>
    </row>
    <row r="8" customFormat="false" ht="15" hidden="false" customHeight="false" outlineLevel="0" collapsed="false">
      <c r="A8" s="4" t="s">
        <v>86</v>
      </c>
      <c r="B8" s="44" t="s">
        <v>87</v>
      </c>
    </row>
    <row r="10" customFormat="false" ht="15" hidden="false" customHeight="false" outlineLevel="0" collapsed="false">
      <c r="A10" s="21" t="s">
        <v>62</v>
      </c>
      <c r="B10" s="22" t="s">
        <v>63</v>
      </c>
      <c r="C10" s="23" t="s">
        <v>64</v>
      </c>
      <c r="D10" s="24" t="s">
        <v>65</v>
      </c>
      <c r="E10" s="25" t="s">
        <v>66</v>
      </c>
      <c r="F10" s="26" t="s">
        <v>67</v>
      </c>
      <c r="G10" s="27" t="s">
        <v>68</v>
      </c>
      <c r="H10" s="28" t="s">
        <v>69</v>
      </c>
    </row>
    <row r="11" customFormat="false" ht="15" hidden="false" customHeight="false" outlineLevel="0" collapsed="false">
      <c r="A11" s="21" t="s">
        <v>70</v>
      </c>
      <c r="B11" s="29" t="s">
        <v>15</v>
      </c>
      <c r="C11" s="30" t="s">
        <v>18</v>
      </c>
      <c r="D11" s="31" t="s">
        <v>21</v>
      </c>
      <c r="E11" s="32" t="s">
        <v>71</v>
      </c>
      <c r="F11" s="33" t="s">
        <v>72</v>
      </c>
      <c r="G11" s="34" t="s">
        <v>73</v>
      </c>
      <c r="H11" s="35" t="s">
        <v>74</v>
      </c>
    </row>
    <row r="12" customFormat="false" ht="15" hidden="false" customHeight="false" outlineLevel="0" collapsed="false">
      <c r="A12" s="21" t="s">
        <v>88</v>
      </c>
      <c r="B12" s="36" t="s">
        <v>24</v>
      </c>
      <c r="C12" s="37" t="s">
        <v>16</v>
      </c>
      <c r="D12" s="38" t="s">
        <v>76</v>
      </c>
      <c r="E12" s="39" t="s">
        <v>77</v>
      </c>
      <c r="F12" s="40" t="s">
        <v>78</v>
      </c>
      <c r="G12" s="41" t="s">
        <v>22</v>
      </c>
    </row>
    <row r="13" customFormat="false" ht="15" hidden="false" customHeight="false" outlineLevel="0" collapsed="false">
      <c r="A13" s="3" t="s">
        <v>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8" t="s">
        <v>31</v>
      </c>
      <c r="B14" s="8" t="s">
        <v>32</v>
      </c>
      <c r="C14" s="8" t="s">
        <v>33</v>
      </c>
      <c r="D14" s="8" t="s">
        <v>34</v>
      </c>
      <c r="E14" s="8" t="s">
        <v>35</v>
      </c>
      <c r="F14" s="8" t="s">
        <v>36</v>
      </c>
      <c r="G14" s="8" t="s">
        <v>37</v>
      </c>
      <c r="H14" s="8" t="s">
        <v>38</v>
      </c>
      <c r="I14" s="8" t="s">
        <v>39</v>
      </c>
      <c r="J14" s="8" t="s">
        <v>40</v>
      </c>
      <c r="K14" s="8" t="s">
        <v>41</v>
      </c>
      <c r="L14" s="8" t="s">
        <v>90</v>
      </c>
    </row>
    <row r="15" customFormat="false" ht="15" hidden="false" customHeight="false" outlineLevel="0" collapsed="false">
      <c r="A15" s="19" t="s">
        <v>43</v>
      </c>
      <c r="B15" s="20" t="str">
        <f aca="false">IF(Planner!B34="","",Planner!B34)</f>
        <v>2x4-16-2</v>
      </c>
      <c r="C15" s="20" t="str">
        <f aca="false">IF(Planner!C34="","",Planner!C34)</f>
        <v>2x6-14-2</v>
      </c>
      <c r="D15" s="20" t="str">
        <f aca="false">IF(Planner!D34="","",Planner!D34)</f>
        <v>2x6-14-2</v>
      </c>
      <c r="E15" s="20" t="str">
        <f aca="false">IF(Planner!E34="","",Planner!E34)</f>
        <v>2x6-14-2</v>
      </c>
      <c r="F15" s="20" t="str">
        <f aca="false">IF(Planner!F34="","",Planner!F34)</f>
        <v>2x6-14-2</v>
      </c>
      <c r="G15" s="20" t="str">
        <f aca="false">IF(Planner!G34="","",Planner!G34)</f>
        <v/>
      </c>
      <c r="H15" s="20" t="str">
        <f aca="false">IF(Planner!H34="","",Planner!H34)</f>
        <v/>
      </c>
      <c r="I15" s="20" t="str">
        <f aca="false">IF(Planner!I34="","",Planner!I34)</f>
        <v/>
      </c>
      <c r="J15" s="20" t="str">
        <f aca="false">IF(Planner!J34="","",Planner!J34)</f>
        <v/>
      </c>
      <c r="K15" s="17" t="n">
        <f aca="false">IF(Planner!K34=0,"",Planner!K34)</f>
        <v>72</v>
      </c>
      <c r="L15" s="45" t="str">
        <f aca="false">Planner!L34</f>
        <v>OK 72</v>
      </c>
    </row>
    <row r="16" customFormat="false" ht="15" hidden="false" customHeight="false" outlineLevel="0" collapsed="false">
      <c r="A16" s="19" t="s">
        <v>46</v>
      </c>
      <c r="B16" s="20" t="str">
        <f aca="false">IF(Planner!B35="","",Planner!B35)</f>
        <v>2x4-16-2</v>
      </c>
      <c r="C16" s="20" t="str">
        <f aca="false">IF(Planner!C35="","",Planner!C35)</f>
        <v>2x6-14-2</v>
      </c>
      <c r="D16" s="20" t="str">
        <f aca="false">IF(Planner!D35="","",Planner!D35)</f>
        <v>2x6-14-2</v>
      </c>
      <c r="E16" s="20" t="str">
        <f aca="false">IF(Planner!E35="","",Planner!E35)</f>
        <v>2x6-14-2</v>
      </c>
      <c r="F16" s="20" t="str">
        <f aca="false">IF(Planner!F35="","",Planner!F35)</f>
        <v>2x6-14-2</v>
      </c>
      <c r="G16" s="20" t="str">
        <f aca="false">IF(Planner!G35="","",Planner!G35)</f>
        <v/>
      </c>
      <c r="H16" s="20" t="str">
        <f aca="false">IF(Planner!H35="","",Planner!H35)</f>
        <v/>
      </c>
      <c r="I16" s="20" t="str">
        <f aca="false">IF(Planner!I35="","",Planner!I35)</f>
        <v/>
      </c>
      <c r="J16" s="20" t="str">
        <f aca="false">IF(Planner!J35="","",Planner!J35)</f>
        <v/>
      </c>
      <c r="K16" s="17" t="n">
        <f aca="false">IF(Planner!K35=0,"",Planner!K35)</f>
        <v>72</v>
      </c>
      <c r="L16" s="45" t="str">
        <f aca="false">Planner!L35</f>
        <v>OK 72</v>
      </c>
    </row>
    <row r="17" customFormat="false" ht="15" hidden="false" customHeight="false" outlineLevel="0" collapsed="false">
      <c r="A17" s="19" t="s">
        <v>47</v>
      </c>
      <c r="B17" s="20" t="str">
        <f aca="false">IF(Planner!B36="","",Planner!B36)</f>
        <v>2x6-16-2</v>
      </c>
      <c r="C17" s="20" t="str">
        <f aca="false">IF(Planner!C36="","",Planner!C36)</f>
        <v>2x6-14-2</v>
      </c>
      <c r="D17" s="20" t="str">
        <f aca="false">IF(Planner!D36="","",Planner!D36)</f>
        <v>2x6-14-2</v>
      </c>
      <c r="E17" s="20" t="str">
        <f aca="false">IF(Planner!E36="","",Planner!E36)</f>
        <v>2x6-14-2</v>
      </c>
      <c r="F17" s="20" t="str">
        <f aca="false">IF(Planner!F36="","",Planner!F36)</f>
        <v>2x6-14-2</v>
      </c>
      <c r="G17" s="20" t="str">
        <f aca="false">IF(Planner!G36="","",Planner!G36)</f>
        <v/>
      </c>
      <c r="H17" s="20" t="str">
        <f aca="false">IF(Planner!H36="","",Planner!H36)</f>
        <v/>
      </c>
      <c r="I17" s="20" t="str">
        <f aca="false">IF(Planner!I36="","",Planner!I36)</f>
        <v/>
      </c>
      <c r="J17" s="20" t="str">
        <f aca="false">IF(Planner!J36="","",Planner!J36)</f>
        <v/>
      </c>
      <c r="K17" s="17" t="n">
        <f aca="false">IF(Planner!K36=0,"",Planner!K36)</f>
        <v>72</v>
      </c>
      <c r="L17" s="45" t="str">
        <f aca="false">Planner!L36</f>
        <v>OK 72</v>
      </c>
    </row>
    <row r="18" customFormat="false" ht="15" hidden="false" customHeight="false" outlineLevel="0" collapsed="false">
      <c r="A18" s="19" t="s">
        <v>49</v>
      </c>
      <c r="B18" s="20" t="str">
        <f aca="false">IF(Planner!B37="","",Planner!B37)</f>
        <v>2x6-16-2</v>
      </c>
      <c r="C18" s="20" t="str">
        <f aca="false">IF(Planner!C37="","",Planner!C37)</f>
        <v>2x8-14-MSR</v>
      </c>
      <c r="D18" s="20" t="str">
        <f aca="false">IF(Planner!D37="","",Planner!D37)</f>
        <v>2x8-14-MSR</v>
      </c>
      <c r="E18" s="20" t="str">
        <f aca="false">IF(Planner!E37="","",Planner!E37)</f>
        <v>2x8-14-MSR</v>
      </c>
      <c r="F18" s="20" t="str">
        <f aca="false">IF(Planner!F37="","",Planner!F37)</f>
        <v>2x8-14-MSR</v>
      </c>
      <c r="G18" s="20" t="str">
        <f aca="false">IF(Planner!G37="","",Planner!G37)</f>
        <v/>
      </c>
      <c r="H18" s="20" t="str">
        <f aca="false">IF(Planner!H37="","",Planner!H37)</f>
        <v/>
      </c>
      <c r="I18" s="20" t="str">
        <f aca="false">IF(Planner!I37="","",Planner!I37)</f>
        <v/>
      </c>
      <c r="J18" s="20" t="str">
        <f aca="false">IF(Planner!J37="","",Planner!J37)</f>
        <v/>
      </c>
      <c r="K18" s="17" t="n">
        <f aca="false">IF(Planner!K37=0,"",Planner!K37)</f>
        <v>72</v>
      </c>
      <c r="L18" s="45" t="str">
        <f aca="false">Planner!L37</f>
        <v>OK 72</v>
      </c>
    </row>
    <row r="19" customFormat="false" ht="15" hidden="false" customHeight="false" outlineLevel="0" collapsed="false">
      <c r="A19" s="19" t="s">
        <v>51</v>
      </c>
      <c r="B19" s="20" t="str">
        <f aca="false">IF(Planner!B38="","",Planner!B38)</f>
        <v>2x6-16-2</v>
      </c>
      <c r="C19" s="20" t="str">
        <f aca="false">IF(Planner!C38="","",Planner!C38)</f>
        <v>2x8-14-MSR</v>
      </c>
      <c r="D19" s="20" t="str">
        <f aca="false">IF(Planner!D38="","",Planner!D38)</f>
        <v>2x8-14-MSR</v>
      </c>
      <c r="E19" s="20" t="str">
        <f aca="false">IF(Planner!E38="","",Planner!E38)</f>
        <v>2x8-14-MSR</v>
      </c>
      <c r="F19" s="20" t="str">
        <f aca="false">IF(Planner!F38="","",Planner!F38)</f>
        <v>2x8-14-MSR</v>
      </c>
      <c r="G19" s="20" t="str">
        <f aca="false">IF(Planner!G38="","",Planner!G38)</f>
        <v/>
      </c>
      <c r="H19" s="20" t="str">
        <f aca="false">IF(Planner!H38="","",Planner!H38)</f>
        <v/>
      </c>
      <c r="I19" s="20" t="str">
        <f aca="false">IF(Planner!I38="","",Planner!I38)</f>
        <v/>
      </c>
      <c r="J19" s="20" t="str">
        <f aca="false">IF(Planner!J38="","",Planner!J38)</f>
        <v/>
      </c>
      <c r="K19" s="17" t="n">
        <f aca="false">IF(Planner!K38=0,"",Planner!K38)</f>
        <v>72</v>
      </c>
      <c r="L19" s="45" t="str">
        <f aca="false">Planner!L38</f>
        <v>OK 72</v>
      </c>
    </row>
    <row r="20" customFormat="false" ht="15" hidden="false" customHeight="false" outlineLevel="0" collapsed="false">
      <c r="A20" s="19" t="s">
        <v>52</v>
      </c>
      <c r="B20" s="20" t="str">
        <f aca="false">IF(Planner!B39="","",Planner!B39)</f>
        <v>2x4-12-1</v>
      </c>
      <c r="C20" s="20" t="str">
        <f aca="false">IF(Planner!C39="","",Planner!C39)</f>
        <v>2x4-12-1</v>
      </c>
      <c r="D20" s="20" t="str">
        <f aca="false">IF(Planner!D39="","",Planner!D39)</f>
        <v>2x4-12-1</v>
      </c>
      <c r="E20" s="20" t="str">
        <f aca="false">IF(Planner!E39="","",Planner!E39)</f>
        <v>2x4-12-1</v>
      </c>
      <c r="F20" s="20" t="str">
        <f aca="false">IF(Planner!F39="","",Planner!F39)</f>
        <v>2x4-12-1</v>
      </c>
      <c r="G20" s="20" t="str">
        <f aca="false">IF(Planner!G39="","",Planner!G39)</f>
        <v>2x4-12-1</v>
      </c>
      <c r="H20" s="20" t="str">
        <f aca="false">IF(Planner!H39="","",Planner!H39)</f>
        <v/>
      </c>
      <c r="I20" s="20" t="str">
        <f aca="false">IF(Planner!I39="","",Planner!I39)</f>
        <v/>
      </c>
      <c r="J20" s="20" t="str">
        <f aca="false">IF(Planner!J39="","",Planner!J39)</f>
        <v/>
      </c>
      <c r="K20" s="17" t="n">
        <f aca="false">IF(Planner!K39=0,"",Planner!K39)</f>
        <v>72</v>
      </c>
      <c r="L20" s="45" t="str">
        <f aca="false">Planner!L39</f>
        <v>OK 72</v>
      </c>
    </row>
    <row r="21" customFormat="false" ht="15" hidden="false" customHeight="false" outlineLevel="0" collapsed="false">
      <c r="A21" s="19" t="s">
        <v>54</v>
      </c>
      <c r="B21" s="20" t="str">
        <f aca="false">IF(Planner!B40="","",Planner!B40)</f>
        <v>2x4-12-1</v>
      </c>
      <c r="C21" s="20" t="str">
        <f aca="false">IF(Planner!C40="","",Planner!C40)</f>
        <v>2x4-12-1</v>
      </c>
      <c r="D21" s="20" t="str">
        <f aca="false">IF(Planner!D40="","",Planner!D40)</f>
        <v>2x4-12-1</v>
      </c>
      <c r="E21" s="20" t="str">
        <f aca="false">IF(Planner!E40="","",Planner!E40)</f>
        <v>2x4-12-1</v>
      </c>
      <c r="F21" s="20" t="str">
        <f aca="false">IF(Planner!F40="","",Planner!F40)</f>
        <v>2x4-12-1</v>
      </c>
      <c r="G21" s="20" t="str">
        <f aca="false">IF(Planner!G40="","",Planner!G40)</f>
        <v>2x4-12-1</v>
      </c>
      <c r="H21" s="20" t="str">
        <f aca="false">IF(Planner!H40="","",Planner!H40)</f>
        <v/>
      </c>
      <c r="I21" s="20" t="str">
        <f aca="false">IF(Planner!I40="","",Planner!I40)</f>
        <v/>
      </c>
      <c r="J21" s="20" t="str">
        <f aca="false">IF(Planner!J40="","",Planner!J40)</f>
        <v/>
      </c>
      <c r="K21" s="17" t="n">
        <f aca="false">IF(Planner!K40=0,"",Planner!K40)</f>
        <v>72</v>
      </c>
      <c r="L21" s="45" t="str">
        <f aca="false">Planner!L40</f>
        <v>OK 72</v>
      </c>
    </row>
    <row r="22" customFormat="false" ht="15" hidden="false" customHeight="false" outlineLevel="0" collapsed="false">
      <c r="A22" s="19" t="s">
        <v>55</v>
      </c>
      <c r="B22" s="20" t="str">
        <f aca="false">IF(Planner!B41="","",Planner!B41)</f>
        <v>2x4-12-1</v>
      </c>
      <c r="C22" s="20" t="str">
        <f aca="false">IF(Planner!C41="","",Planner!C41)</f>
        <v>2x4-12-1</v>
      </c>
      <c r="D22" s="20" t="str">
        <f aca="false">IF(Planner!D41="","",Planner!D41)</f>
        <v>2x4-12-1</v>
      </c>
      <c r="E22" s="20" t="str">
        <f aca="false">IF(Planner!E41="","",Planner!E41)</f>
        <v>2x4-12-1</v>
      </c>
      <c r="F22" s="20" t="str">
        <f aca="false">IF(Planner!F41="","",Planner!F41)</f>
        <v>2x4-12-1</v>
      </c>
      <c r="G22" s="20" t="str">
        <f aca="false">IF(Planner!G41="","",Planner!G41)</f>
        <v>2x4-12-1</v>
      </c>
      <c r="H22" s="20" t="str">
        <f aca="false">IF(Planner!H41="","",Planner!H41)</f>
        <v/>
      </c>
      <c r="I22" s="20" t="str">
        <f aca="false">IF(Planner!I41="","",Planner!I41)</f>
        <v/>
      </c>
      <c r="J22" s="20" t="str">
        <f aca="false">IF(Planner!J41="","",Planner!J41)</f>
        <v/>
      </c>
      <c r="K22" s="17" t="n">
        <f aca="false">IF(Planner!K41=0,"",Planner!K41)</f>
        <v>72</v>
      </c>
      <c r="L22" s="45" t="str">
        <f aca="false">Planner!L41</f>
        <v>OK 72</v>
      </c>
    </row>
    <row r="23" customFormat="false" ht="15" hidden="false" customHeight="false" outlineLevel="0" collapsed="false">
      <c r="A23" s="19" t="s">
        <v>56</v>
      </c>
      <c r="B23" s="20" t="str">
        <f aca="false">IF(Planner!B42="","",Planner!B42)</f>
        <v>2x4-12-1</v>
      </c>
      <c r="C23" s="20" t="str">
        <f aca="false">IF(Planner!C42="","",Planner!C42)</f>
        <v>2x4-12-1</v>
      </c>
      <c r="D23" s="20" t="str">
        <f aca="false">IF(Planner!D42="","",Planner!D42)</f>
        <v>2x4-12-1</v>
      </c>
      <c r="E23" s="20" t="str">
        <f aca="false">IF(Planner!E42="","",Planner!E42)</f>
        <v>2x4-12-1</v>
      </c>
      <c r="F23" s="20" t="str">
        <f aca="false">IF(Planner!F42="","",Planner!F42)</f>
        <v>2x4-12-1</v>
      </c>
      <c r="G23" s="20" t="str">
        <f aca="false">IF(Planner!G42="","",Planner!G42)</f>
        <v>2x4-12-1</v>
      </c>
      <c r="H23" s="20" t="str">
        <f aca="false">IF(Planner!H42="","",Planner!H42)</f>
        <v/>
      </c>
      <c r="I23" s="20" t="str">
        <f aca="false">IF(Planner!I42="","",Planner!I42)</f>
        <v/>
      </c>
      <c r="J23" s="20" t="str">
        <f aca="false">IF(Planner!J42="","",Planner!J42)</f>
        <v/>
      </c>
      <c r="K23" s="17" t="n">
        <f aca="false">IF(Planner!K42=0,"",Planner!K42)</f>
        <v>72</v>
      </c>
      <c r="L23" s="45" t="str">
        <f aca="false">Planner!L42</f>
        <v>OK 72</v>
      </c>
    </row>
    <row r="24" customFormat="false" ht="15" hidden="false" customHeight="false" outlineLevel="0" collapsed="false">
      <c r="A24" s="19" t="s">
        <v>57</v>
      </c>
      <c r="B24" s="20" t="str">
        <f aca="false">IF(Planner!B43="","",Planner!B43)</f>
        <v>2x4-12-1</v>
      </c>
      <c r="C24" s="20" t="str">
        <f aca="false">IF(Planner!C43="","",Planner!C43)</f>
        <v>2x4-12-1</v>
      </c>
      <c r="D24" s="20" t="str">
        <f aca="false">IF(Planner!D43="","",Planner!D43)</f>
        <v>2x4-12-1</v>
      </c>
      <c r="E24" s="20" t="str">
        <f aca="false">IF(Planner!E43="","",Planner!E43)</f>
        <v>2x4-12-1</v>
      </c>
      <c r="F24" s="20" t="str">
        <f aca="false">IF(Planner!F43="","",Planner!F43)</f>
        <v>2x4-12-1</v>
      </c>
      <c r="G24" s="20" t="str">
        <f aca="false">IF(Planner!G43="","",Planner!G43)</f>
        <v>2x4-12-1</v>
      </c>
      <c r="H24" s="20" t="str">
        <f aca="false">IF(Planner!H43="","",Planner!H43)</f>
        <v/>
      </c>
      <c r="I24" s="20" t="str">
        <f aca="false">IF(Planner!I43="","",Planner!I43)</f>
        <v/>
      </c>
      <c r="J24" s="20" t="str">
        <f aca="false">IF(Planner!J43="","",Planner!J43)</f>
        <v/>
      </c>
      <c r="K24" s="17" t="n">
        <f aca="false">IF(Planner!K43=0,"",Planner!K43)</f>
        <v>72</v>
      </c>
      <c r="L24" s="45" t="str">
        <f aca="false">Planner!L43</f>
        <v>OK 72</v>
      </c>
    </row>
    <row r="25" customFormat="false" ht="15" hidden="false" customHeight="false" outlineLevel="0" collapsed="false">
      <c r="A25" s="19" t="s">
        <v>58</v>
      </c>
      <c r="B25" s="20" t="str">
        <f aca="false">IF(Planner!B44="","",Planner!B44)</f>
        <v/>
      </c>
      <c r="C25" s="20" t="str">
        <f aca="false">IF(Planner!C44="","",Planner!C44)</f>
        <v/>
      </c>
      <c r="D25" s="20" t="str">
        <f aca="false">IF(Planner!D44="","",Planner!D44)</f>
        <v/>
      </c>
      <c r="E25" s="20" t="str">
        <f aca="false">IF(Planner!E44="","",Planner!E44)</f>
        <v/>
      </c>
      <c r="F25" s="20" t="str">
        <f aca="false">IF(Planner!F44="","",Planner!F44)</f>
        <v/>
      </c>
      <c r="G25" s="20" t="str">
        <f aca="false">IF(Planner!G44="","",Planner!G44)</f>
        <v/>
      </c>
      <c r="H25" s="20" t="str">
        <f aca="false">IF(Planner!H44="","",Planner!H44)</f>
        <v/>
      </c>
      <c r="I25" s="20" t="str">
        <f aca="false">IF(Planner!I44="","",Planner!I44)</f>
        <v/>
      </c>
      <c r="J25" s="20" t="str">
        <f aca="false">IF(Planner!J44="","",Planner!J44)</f>
        <v/>
      </c>
      <c r="K25" s="17" t="str">
        <f aca="false">IF(Planner!K44=0,"",Planner!K44)</f>
        <v/>
      </c>
      <c r="L25" s="45" t="str">
        <f aca="false">Planner!L44</f>
        <v>— unused —</v>
      </c>
    </row>
    <row r="26" customFormat="false" ht="15" hidden="false" customHeight="false" outlineLevel="0" collapsed="false">
      <c r="A26" s="19" t="s">
        <v>59</v>
      </c>
      <c r="B26" s="20" t="str">
        <f aca="false">IF(Planner!B45="","",Planner!B45)</f>
        <v/>
      </c>
      <c r="C26" s="20" t="str">
        <f aca="false">IF(Planner!C45="","",Planner!C45)</f>
        <v/>
      </c>
      <c r="D26" s="20" t="str">
        <f aca="false">IF(Planner!D45="","",Planner!D45)</f>
        <v/>
      </c>
      <c r="E26" s="20" t="str">
        <f aca="false">IF(Planner!E45="","",Planner!E45)</f>
        <v/>
      </c>
      <c r="F26" s="20" t="str">
        <f aca="false">IF(Planner!F45="","",Planner!F45)</f>
        <v/>
      </c>
      <c r="G26" s="20" t="str">
        <f aca="false">IF(Planner!G45="","",Planner!G45)</f>
        <v/>
      </c>
      <c r="H26" s="20" t="str">
        <f aca="false">IF(Planner!H45="","",Planner!H45)</f>
        <v/>
      </c>
      <c r="I26" s="20" t="str">
        <f aca="false">IF(Planner!I45="","",Planner!I45)</f>
        <v/>
      </c>
      <c r="J26" s="20" t="str">
        <f aca="false">IF(Planner!J45="","",Planner!J45)</f>
        <v/>
      </c>
      <c r="K26" s="17" t="str">
        <f aca="false">IF(Planner!K45=0,"",Planner!K45)</f>
        <v/>
      </c>
      <c r="L26" s="45" t="str">
        <f aca="false">Planner!L45</f>
        <v>— unused —</v>
      </c>
    </row>
    <row r="27" customFormat="false" ht="15" hidden="false" customHeight="false" outlineLevel="0" collapsed="false">
      <c r="A27" s="19" t="s">
        <v>60</v>
      </c>
      <c r="B27" s="20" t="str">
        <f aca="false">IF(Planner!B46="","",Planner!B46)</f>
        <v/>
      </c>
      <c r="C27" s="20" t="str">
        <f aca="false">IF(Planner!C46="","",Planner!C46)</f>
        <v/>
      </c>
      <c r="D27" s="20" t="str">
        <f aca="false">IF(Planner!D46="","",Planner!D46)</f>
        <v/>
      </c>
      <c r="E27" s="20" t="str">
        <f aca="false">IF(Planner!E46="","",Planner!E46)</f>
        <v/>
      </c>
      <c r="F27" s="20" t="str">
        <f aca="false">IF(Planner!F46="","",Planner!F46)</f>
        <v/>
      </c>
      <c r="G27" s="20" t="str">
        <f aca="false">IF(Planner!G46="","",Planner!G46)</f>
        <v/>
      </c>
      <c r="H27" s="20" t="str">
        <f aca="false">IF(Planner!H46="","",Planner!H46)</f>
        <v/>
      </c>
      <c r="I27" s="20" t="str">
        <f aca="false">IF(Planner!I46="","",Planner!I46)</f>
        <v/>
      </c>
      <c r="J27" s="20" t="str">
        <f aca="false">IF(Planner!J46="","",Planner!J46)</f>
        <v/>
      </c>
      <c r="K27" s="17" t="str">
        <f aca="false">IF(Planner!K46=0,"",Planner!K46)</f>
        <v/>
      </c>
      <c r="L27" s="45" t="str">
        <f aca="false">Planner!L46</f>
        <v>— unused —</v>
      </c>
    </row>
    <row r="28" customFormat="false" ht="15" hidden="false" customHeight="false" outlineLevel="0" collapsed="false">
      <c r="A28" s="19" t="s">
        <v>61</v>
      </c>
      <c r="B28" s="20" t="str">
        <f aca="false">IF(Planner!B47="","",Planner!B47)</f>
        <v/>
      </c>
      <c r="C28" s="20" t="str">
        <f aca="false">IF(Planner!C47="","",Planner!C47)</f>
        <v/>
      </c>
      <c r="D28" s="20" t="str">
        <f aca="false">IF(Planner!D47="","",Planner!D47)</f>
        <v/>
      </c>
      <c r="E28" s="20" t="str">
        <f aca="false">IF(Planner!E47="","",Planner!E47)</f>
        <v/>
      </c>
      <c r="F28" s="20" t="str">
        <f aca="false">IF(Planner!F47="","",Planner!F47)</f>
        <v/>
      </c>
      <c r="G28" s="20" t="str">
        <f aca="false">IF(Planner!G47="","",Planner!G47)</f>
        <v/>
      </c>
      <c r="H28" s="20" t="str">
        <f aca="false">IF(Planner!H47="","",Planner!H47)</f>
        <v/>
      </c>
      <c r="I28" s="20" t="str">
        <f aca="false">IF(Planner!I47="","",Planner!I47)</f>
        <v/>
      </c>
      <c r="J28" s="20" t="str">
        <f aca="false">IF(Planner!J47="","",Planner!J47)</f>
        <v/>
      </c>
      <c r="K28" s="17" t="str">
        <f aca="false">IF(Planner!K47=0,"",Planner!K47)</f>
        <v/>
      </c>
      <c r="L28" s="45" t="str">
        <f aca="false">Planner!L47</f>
        <v>— unused —</v>
      </c>
    </row>
    <row r="30" customFormat="false" ht="15" hidden="false" customHeight="false" outlineLevel="0" collapsed="false">
      <c r="A30" s="3" t="s">
        <v>91</v>
      </c>
      <c r="B30" s="3"/>
      <c r="C30" s="3"/>
      <c r="E30" s="3" t="s">
        <v>92</v>
      </c>
      <c r="F30" s="3"/>
      <c r="G30" s="3"/>
    </row>
    <row r="31" customFormat="false" ht="15" hidden="false" customHeight="false" outlineLevel="0" collapsed="false">
      <c r="A31" s="8" t="s">
        <v>7</v>
      </c>
      <c r="B31" s="8" t="s">
        <v>93</v>
      </c>
      <c r="C31" s="8" t="s">
        <v>94</v>
      </c>
      <c r="E31" s="8" t="s">
        <v>9</v>
      </c>
      <c r="F31" s="8" t="s">
        <v>93</v>
      </c>
      <c r="G31" s="8" t="s">
        <v>94</v>
      </c>
    </row>
    <row r="32" customFormat="false" ht="15" hidden="false" customHeight="false" outlineLevel="0" collapsed="false">
      <c r="A32" s="46" t="s">
        <v>15</v>
      </c>
      <c r="B32" s="11" t="n">
        <f aca="false">SUMIF(Planner!$B$10:$B$29,"2x4",Planner!$G$10:$G$29)</f>
        <v>32</v>
      </c>
      <c r="C32" s="11" t="n">
        <f aca="false">SUMIF(Planner!$B$10:$B$29,"2x4",Planner!$I$10:$I$29)</f>
        <v>392</v>
      </c>
      <c r="E32" s="47" t="s">
        <v>24</v>
      </c>
      <c r="F32" s="11" t="n">
        <f aca="false">SUMIF(Planner!$D$10:$D$29,"1",Planner!$G$10:$G$29)</f>
        <v>30</v>
      </c>
      <c r="G32" s="11" t="n">
        <f aca="false">SUMIF(Planner!$D$10:$D$29,"1",Planner!$I$10:$I$29)</f>
        <v>360</v>
      </c>
    </row>
    <row r="33" customFormat="false" ht="15" hidden="false" customHeight="false" outlineLevel="0" collapsed="false">
      <c r="A33" s="48" t="s">
        <v>18</v>
      </c>
      <c r="B33" s="11" t="n">
        <f aca="false">SUMIF(Planner!$B$10:$B$29,"2x6",Planner!$G$10:$G$29)</f>
        <v>15</v>
      </c>
      <c r="C33" s="11" t="n">
        <f aca="false">SUMIF(Planner!$B$10:$B$29,"2x6",Planner!$I$10:$I$29)</f>
        <v>216</v>
      </c>
      <c r="E33" s="49" t="s">
        <v>16</v>
      </c>
      <c r="F33" s="11" t="n">
        <f aca="false">SUMIF(Planner!$D$10:$D$29,"2",Planner!$G$10:$G$29)</f>
        <v>17</v>
      </c>
      <c r="G33" s="11" t="n">
        <f aca="false">SUMIF(Planner!$D$10:$D$29,"2",Planner!$I$10:$I$29)</f>
        <v>248</v>
      </c>
    </row>
    <row r="34" customFormat="false" ht="15" hidden="false" customHeight="false" outlineLevel="0" collapsed="false">
      <c r="A34" s="50" t="s">
        <v>21</v>
      </c>
      <c r="B34" s="11" t="n">
        <f aca="false">SUMIF(Planner!$B$10:$B$29,"2x8",Planner!$G$10:$G$29)</f>
        <v>8</v>
      </c>
      <c r="C34" s="11" t="n">
        <f aca="false">SUMIF(Planner!$B$10:$B$29,"2x8",Planner!$I$10:$I$29)</f>
        <v>112</v>
      </c>
      <c r="E34" s="51" t="s">
        <v>76</v>
      </c>
      <c r="F34" s="11" t="n">
        <f aca="false">SUMIF(Planner!$D$10:$D$29,"3",Planner!$G$10:$G$29)</f>
        <v>0</v>
      </c>
      <c r="G34" s="11" t="n">
        <f aca="false">SUMIF(Planner!$D$10:$D$29,"3",Planner!$I$10:$I$29)</f>
        <v>0</v>
      </c>
    </row>
    <row r="35" customFormat="false" ht="15" hidden="false" customHeight="false" outlineLevel="0" collapsed="false">
      <c r="A35" s="52" t="s">
        <v>71</v>
      </c>
      <c r="B35" s="11" t="n">
        <f aca="false">SUMIF(Planner!$B$10:$B$29,"2x10",Planner!$G$10:$G$29)</f>
        <v>0</v>
      </c>
      <c r="C35" s="11" t="n">
        <f aca="false">SUMIF(Planner!$B$10:$B$29,"2x10",Planner!$I$10:$I$29)</f>
        <v>0</v>
      </c>
      <c r="E35" s="53" t="s">
        <v>77</v>
      </c>
      <c r="F35" s="11" t="n">
        <f aca="false">SUMIF(Planner!$D$10:$D$29,"4",Planner!$G$10:$G$29)</f>
        <v>0</v>
      </c>
      <c r="G35" s="11" t="n">
        <f aca="false">SUMIF(Planner!$D$10:$D$29,"4",Planner!$I$10:$I$29)</f>
        <v>0</v>
      </c>
    </row>
    <row r="36" customFormat="false" ht="15" hidden="false" customHeight="false" outlineLevel="0" collapsed="false">
      <c r="A36" s="54" t="s">
        <v>72</v>
      </c>
      <c r="B36" s="11" t="n">
        <f aca="false">SUMIF(Planner!$B$10:$B$29,"4x4",Planner!$G$10:$G$29)</f>
        <v>0</v>
      </c>
      <c r="C36" s="11" t="n">
        <f aca="false">SUMIF(Planner!$B$10:$B$29,"4x4",Planner!$I$10:$I$29)</f>
        <v>0</v>
      </c>
      <c r="E36" s="55" t="s">
        <v>78</v>
      </c>
      <c r="F36" s="11" t="n">
        <f aca="false">SUMIF(Planner!$D$10:$D$29,"2P",Planner!$G$10:$G$29)</f>
        <v>0</v>
      </c>
      <c r="G36" s="11" t="n">
        <f aca="false">SUMIF(Planner!$D$10:$D$29,"2P",Planner!$I$10:$I$29)</f>
        <v>0</v>
      </c>
    </row>
    <row r="37" customFormat="false" ht="15" hidden="false" customHeight="false" outlineLevel="0" collapsed="false">
      <c r="A37" s="56" t="s">
        <v>73</v>
      </c>
      <c r="B37" s="11" t="n">
        <f aca="false">SUMIF(Planner!$B$10:$B$29,"4x6",Planner!$G$10:$G$29)</f>
        <v>0</v>
      </c>
      <c r="C37" s="11" t="n">
        <f aca="false">SUMIF(Planner!$B$10:$B$29,"4x6",Planner!$I$10:$I$29)</f>
        <v>0</v>
      </c>
      <c r="E37" s="57" t="s">
        <v>22</v>
      </c>
      <c r="F37" s="11" t="n">
        <f aca="false">SUMIF(Planner!$D$10:$D$29,"MSR",Planner!$G$10:$G$29)</f>
        <v>8</v>
      </c>
      <c r="G37" s="11" t="n">
        <f aca="false">SUMIF(Planner!$D$10:$D$29,"MSR",Planner!$I$10:$I$29)</f>
        <v>112</v>
      </c>
    </row>
    <row r="38" customFormat="false" ht="15" hidden="false" customHeight="false" outlineLevel="0" collapsed="false">
      <c r="A38" s="58" t="s">
        <v>74</v>
      </c>
      <c r="B38" s="11" t="n">
        <f aca="false">SUMIF(Planner!$B$10:$B$29,"6x6",Planner!$G$10:$G$29)</f>
        <v>0</v>
      </c>
      <c r="C38" s="11" t="n">
        <f aca="false">SUMIF(Planner!$B$10:$B$29,"6x6",Planner!$I$10:$I$29)</f>
        <v>0</v>
      </c>
    </row>
    <row r="40" customFormat="false" ht="15" hidden="false" customHeight="false" outlineLevel="0" collapsed="false">
      <c r="A40" s="3" t="s">
        <v>95</v>
      </c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8" t="s">
        <v>96</v>
      </c>
      <c r="B41" s="59" t="s">
        <v>24</v>
      </c>
      <c r="C41" s="60" t="s">
        <v>16</v>
      </c>
      <c r="D41" s="61" t="s">
        <v>76</v>
      </c>
      <c r="E41" s="62" t="s">
        <v>77</v>
      </c>
      <c r="F41" s="63" t="s">
        <v>78</v>
      </c>
      <c r="G41" s="64" t="s">
        <v>22</v>
      </c>
      <c r="H41" s="8" t="s">
        <v>41</v>
      </c>
    </row>
    <row r="42" customFormat="false" ht="15" hidden="false" customHeight="false" outlineLevel="0" collapsed="false">
      <c r="A42" s="46" t="s">
        <v>15</v>
      </c>
      <c r="B42" s="11" t="n">
        <f aca="false">SUMIFS(Planner!$G$10:$G$29,Planner!$B$10:$B$29,"2x4",Planner!$D$10:$D$29,"1")</f>
        <v>30</v>
      </c>
      <c r="C42" s="11" t="n">
        <f aca="false">SUMIFS(Planner!$G$10:$G$29,Planner!$B$10:$B$29,"2x4",Planner!$D$10:$D$29,"2")</f>
        <v>2</v>
      </c>
      <c r="D42" s="11" t="n">
        <f aca="false">SUMIFS(Planner!$G$10:$G$29,Planner!$B$10:$B$29,"2x4",Planner!$D$10:$D$29,"3")</f>
        <v>0</v>
      </c>
      <c r="E42" s="11" t="n">
        <f aca="false">SUMIFS(Planner!$G$10:$G$29,Planner!$B$10:$B$29,"2x4",Planner!$D$10:$D$29,"4")</f>
        <v>0</v>
      </c>
      <c r="F42" s="11" t="n">
        <f aca="false">SUMIFS(Planner!$G$10:$G$29,Planner!$B$10:$B$29,"2x4",Planner!$D$10:$D$29,"2P")</f>
        <v>0</v>
      </c>
      <c r="G42" s="11" t="n">
        <f aca="false">SUMIFS(Planner!$G$10:$G$29,Planner!$B$10:$B$29,"2x4",Planner!$D$10:$D$29,"MSR")</f>
        <v>0</v>
      </c>
      <c r="H42" s="17" t="n">
        <f aca="false">SUM(B42:G42)</f>
        <v>32</v>
      </c>
    </row>
    <row r="43" customFormat="false" ht="15" hidden="false" customHeight="false" outlineLevel="0" collapsed="false">
      <c r="A43" s="48" t="s">
        <v>18</v>
      </c>
      <c r="B43" s="11" t="n">
        <f aca="false">SUMIFS(Planner!$G$10:$G$29,Planner!$B$10:$B$29,"2x6",Planner!$D$10:$D$29,"1")</f>
        <v>0</v>
      </c>
      <c r="C43" s="11" t="n">
        <f aca="false">SUMIFS(Planner!$G$10:$G$29,Planner!$B$10:$B$29,"2x6",Planner!$D$10:$D$29,"2")</f>
        <v>15</v>
      </c>
      <c r="D43" s="11" t="n">
        <f aca="false">SUMIFS(Planner!$G$10:$G$29,Planner!$B$10:$B$29,"2x6",Planner!$D$10:$D$29,"3")</f>
        <v>0</v>
      </c>
      <c r="E43" s="11" t="n">
        <f aca="false">SUMIFS(Planner!$G$10:$G$29,Planner!$B$10:$B$29,"2x6",Planner!$D$10:$D$29,"4")</f>
        <v>0</v>
      </c>
      <c r="F43" s="11" t="n">
        <f aca="false">SUMIFS(Planner!$G$10:$G$29,Planner!$B$10:$B$29,"2x6",Planner!$D$10:$D$29,"2P")</f>
        <v>0</v>
      </c>
      <c r="G43" s="11" t="n">
        <f aca="false">SUMIFS(Planner!$G$10:$G$29,Planner!$B$10:$B$29,"2x6",Planner!$D$10:$D$29,"MSR")</f>
        <v>0</v>
      </c>
      <c r="H43" s="17" t="n">
        <f aca="false">SUM(B43:G43)</f>
        <v>15</v>
      </c>
    </row>
    <row r="44" customFormat="false" ht="15" hidden="false" customHeight="false" outlineLevel="0" collapsed="false">
      <c r="A44" s="50" t="s">
        <v>21</v>
      </c>
      <c r="B44" s="11" t="n">
        <f aca="false">SUMIFS(Planner!$G$10:$G$29,Planner!$B$10:$B$29,"2x8",Planner!$D$10:$D$29,"1")</f>
        <v>0</v>
      </c>
      <c r="C44" s="11" t="n">
        <f aca="false">SUMIFS(Planner!$G$10:$G$29,Planner!$B$10:$B$29,"2x8",Planner!$D$10:$D$29,"2")</f>
        <v>0</v>
      </c>
      <c r="D44" s="11" t="n">
        <f aca="false">SUMIFS(Planner!$G$10:$G$29,Planner!$B$10:$B$29,"2x8",Planner!$D$10:$D$29,"3")</f>
        <v>0</v>
      </c>
      <c r="E44" s="11" t="n">
        <f aca="false">SUMIFS(Planner!$G$10:$G$29,Planner!$B$10:$B$29,"2x8",Planner!$D$10:$D$29,"4")</f>
        <v>0</v>
      </c>
      <c r="F44" s="11" t="n">
        <f aca="false">SUMIFS(Planner!$G$10:$G$29,Planner!$B$10:$B$29,"2x8",Planner!$D$10:$D$29,"2P")</f>
        <v>0</v>
      </c>
      <c r="G44" s="11" t="n">
        <f aca="false">SUMIFS(Planner!$G$10:$G$29,Planner!$B$10:$B$29,"2x8",Planner!$D$10:$D$29,"MSR")</f>
        <v>8</v>
      </c>
      <c r="H44" s="17" t="n">
        <f aca="false">SUM(B44:G44)</f>
        <v>8</v>
      </c>
    </row>
    <row r="45" customFormat="false" ht="15" hidden="false" customHeight="false" outlineLevel="0" collapsed="false">
      <c r="A45" s="52" t="s">
        <v>71</v>
      </c>
      <c r="B45" s="11" t="n">
        <f aca="false">SUMIFS(Planner!$G$10:$G$29,Planner!$B$10:$B$29,"2x10",Planner!$D$10:$D$29,"1")</f>
        <v>0</v>
      </c>
      <c r="C45" s="11" t="n">
        <f aca="false">SUMIFS(Planner!$G$10:$G$29,Planner!$B$10:$B$29,"2x10",Planner!$D$10:$D$29,"2")</f>
        <v>0</v>
      </c>
      <c r="D45" s="11" t="n">
        <f aca="false">SUMIFS(Planner!$G$10:$G$29,Planner!$B$10:$B$29,"2x10",Planner!$D$10:$D$29,"3")</f>
        <v>0</v>
      </c>
      <c r="E45" s="11" t="n">
        <f aca="false">SUMIFS(Planner!$G$10:$G$29,Planner!$B$10:$B$29,"2x10",Planner!$D$10:$D$29,"4")</f>
        <v>0</v>
      </c>
      <c r="F45" s="11" t="n">
        <f aca="false">SUMIFS(Planner!$G$10:$G$29,Planner!$B$10:$B$29,"2x10",Planner!$D$10:$D$29,"2P")</f>
        <v>0</v>
      </c>
      <c r="G45" s="11" t="n">
        <f aca="false">SUMIFS(Planner!$G$10:$G$29,Planner!$B$10:$B$29,"2x10",Planner!$D$10:$D$29,"MSR")</f>
        <v>0</v>
      </c>
      <c r="H45" s="17" t="n">
        <f aca="false">SUM(B45:G45)</f>
        <v>0</v>
      </c>
    </row>
    <row r="46" customFormat="false" ht="15" hidden="false" customHeight="false" outlineLevel="0" collapsed="false">
      <c r="A46" s="54" t="s">
        <v>72</v>
      </c>
      <c r="B46" s="11" t="n">
        <f aca="false">SUMIFS(Planner!$G$10:$G$29,Planner!$B$10:$B$29,"4x4",Planner!$D$10:$D$29,"1")</f>
        <v>0</v>
      </c>
      <c r="C46" s="11" t="n">
        <f aca="false">SUMIFS(Planner!$G$10:$G$29,Planner!$B$10:$B$29,"4x4",Planner!$D$10:$D$29,"2")</f>
        <v>0</v>
      </c>
      <c r="D46" s="11" t="n">
        <f aca="false">SUMIFS(Planner!$G$10:$G$29,Planner!$B$10:$B$29,"4x4",Planner!$D$10:$D$29,"3")</f>
        <v>0</v>
      </c>
      <c r="E46" s="11" t="n">
        <f aca="false">SUMIFS(Planner!$G$10:$G$29,Planner!$B$10:$B$29,"4x4",Planner!$D$10:$D$29,"4")</f>
        <v>0</v>
      </c>
      <c r="F46" s="11" t="n">
        <f aca="false">SUMIFS(Planner!$G$10:$G$29,Planner!$B$10:$B$29,"4x4",Planner!$D$10:$D$29,"2P")</f>
        <v>0</v>
      </c>
      <c r="G46" s="11" t="n">
        <f aca="false">SUMIFS(Planner!$G$10:$G$29,Planner!$B$10:$B$29,"4x4",Planner!$D$10:$D$29,"MSR")</f>
        <v>0</v>
      </c>
      <c r="H46" s="17" t="n">
        <f aca="false">SUM(B46:G46)</f>
        <v>0</v>
      </c>
    </row>
    <row r="47" customFormat="false" ht="15" hidden="false" customHeight="false" outlineLevel="0" collapsed="false">
      <c r="A47" s="56" t="s">
        <v>73</v>
      </c>
      <c r="B47" s="11" t="n">
        <f aca="false">SUMIFS(Planner!$G$10:$G$29,Planner!$B$10:$B$29,"4x6",Planner!$D$10:$D$29,"1")</f>
        <v>0</v>
      </c>
      <c r="C47" s="11" t="n">
        <f aca="false">SUMIFS(Planner!$G$10:$G$29,Planner!$B$10:$B$29,"4x6",Planner!$D$10:$D$29,"2")</f>
        <v>0</v>
      </c>
      <c r="D47" s="11" t="n">
        <f aca="false">SUMIFS(Planner!$G$10:$G$29,Planner!$B$10:$B$29,"4x6",Planner!$D$10:$D$29,"3")</f>
        <v>0</v>
      </c>
      <c r="E47" s="11" t="n">
        <f aca="false">SUMIFS(Planner!$G$10:$G$29,Planner!$B$10:$B$29,"4x6",Planner!$D$10:$D$29,"4")</f>
        <v>0</v>
      </c>
      <c r="F47" s="11" t="n">
        <f aca="false">SUMIFS(Planner!$G$10:$G$29,Planner!$B$10:$B$29,"4x6",Planner!$D$10:$D$29,"2P")</f>
        <v>0</v>
      </c>
      <c r="G47" s="11" t="n">
        <f aca="false">SUMIFS(Planner!$G$10:$G$29,Planner!$B$10:$B$29,"4x6",Planner!$D$10:$D$29,"MSR")</f>
        <v>0</v>
      </c>
      <c r="H47" s="17" t="n">
        <f aca="false">SUM(B47:G47)</f>
        <v>0</v>
      </c>
    </row>
    <row r="48" customFormat="false" ht="15" hidden="false" customHeight="false" outlineLevel="0" collapsed="false">
      <c r="A48" s="58" t="s">
        <v>74</v>
      </c>
      <c r="B48" s="11" t="n">
        <f aca="false">SUMIFS(Planner!$G$10:$G$29,Planner!$B$10:$B$29,"6x6",Planner!$D$10:$D$29,"1")</f>
        <v>0</v>
      </c>
      <c r="C48" s="11" t="n">
        <f aca="false">SUMIFS(Planner!$G$10:$G$29,Planner!$B$10:$B$29,"6x6",Planner!$D$10:$D$29,"2")</f>
        <v>0</v>
      </c>
      <c r="D48" s="11" t="n">
        <f aca="false">SUMIFS(Planner!$G$10:$G$29,Planner!$B$10:$B$29,"6x6",Planner!$D$10:$D$29,"3")</f>
        <v>0</v>
      </c>
      <c r="E48" s="11" t="n">
        <f aca="false">SUMIFS(Planner!$G$10:$G$29,Planner!$B$10:$B$29,"6x6",Planner!$D$10:$D$29,"4")</f>
        <v>0</v>
      </c>
      <c r="F48" s="11" t="n">
        <f aca="false">SUMIFS(Planner!$G$10:$G$29,Planner!$B$10:$B$29,"6x6",Planner!$D$10:$D$29,"2P")</f>
        <v>0</v>
      </c>
      <c r="G48" s="11" t="n">
        <f aca="false">SUMIFS(Planner!$G$10:$G$29,Planner!$B$10:$B$29,"6x6",Planner!$D$10:$D$29,"MSR")</f>
        <v>0</v>
      </c>
      <c r="H48" s="17" t="n">
        <f aca="false">SUM(B48:G48)</f>
        <v>0</v>
      </c>
    </row>
    <row r="51" customFormat="false" ht="15" hidden="false" customHeight="false" outlineLevel="0" collapsed="false">
      <c r="A51" s="3" t="s">
        <v>97</v>
      </c>
      <c r="B51" s="3"/>
      <c r="C51" s="3"/>
      <c r="D51" s="3"/>
      <c r="E51" s="3"/>
    </row>
    <row r="52" customFormat="false" ht="15" hidden="false" customHeight="false" outlineLevel="0" collapsed="false">
      <c r="A52" s="8" t="s">
        <v>6</v>
      </c>
      <c r="B52" s="8" t="s">
        <v>7</v>
      </c>
      <c r="C52" s="8" t="s">
        <v>8</v>
      </c>
      <c r="D52" s="8" t="s">
        <v>9</v>
      </c>
      <c r="E52" s="8" t="s">
        <v>98</v>
      </c>
    </row>
    <row r="53" customFormat="false" ht="15" hidden="false" customHeight="false" outlineLevel="0" collapsed="false">
      <c r="A53" s="11" t="n">
        <f aca="false">IF(OR(Planner!B10="",Planner!G10=0),"",Planner!A10)</f>
        <v>1</v>
      </c>
      <c r="B53" s="45" t="str">
        <f aca="false">IF(OR(Planner!B10="",Planner!G10=0),"",Planner!B10)</f>
        <v>2x4</v>
      </c>
      <c r="C53" s="11" t="n">
        <f aca="false">IF(OR(Planner!B10="",Planner!G10=0),"",Planner!C10)</f>
        <v>16</v>
      </c>
      <c r="D53" s="45" t="str">
        <f aca="false">IF(OR(Planner!B10="",Planner!G10=0),"",Planner!D10)</f>
        <v>2</v>
      </c>
      <c r="E53" s="17" t="n">
        <f aca="false">IF(OR(Planner!B10="",Planner!G10=0),"",Planner!G10)</f>
        <v>2</v>
      </c>
    </row>
    <row r="54" customFormat="false" ht="15" hidden="false" customHeight="false" outlineLevel="0" collapsed="false">
      <c r="A54" s="11" t="n">
        <f aca="false">IF(OR(Planner!B11="",Planner!G11=0),"",Planner!A11)</f>
        <v>2</v>
      </c>
      <c r="B54" s="45" t="str">
        <f aca="false">IF(OR(Planner!B11="",Planner!G11=0),"",Planner!B11)</f>
        <v>2x6</v>
      </c>
      <c r="C54" s="11" t="n">
        <f aca="false">IF(OR(Planner!B11="",Planner!G11=0),"",Planner!C11)</f>
        <v>16</v>
      </c>
      <c r="D54" s="45" t="str">
        <f aca="false">IF(OR(Planner!B11="",Planner!G11=0),"",Planner!D11)</f>
        <v>2</v>
      </c>
      <c r="E54" s="17" t="n">
        <f aca="false">IF(OR(Planner!B11="",Planner!G11=0),"",Planner!G11)</f>
        <v>3</v>
      </c>
    </row>
    <row r="55" customFormat="false" ht="15" hidden="false" customHeight="false" outlineLevel="0" collapsed="false">
      <c r="A55" s="11" t="n">
        <f aca="false">IF(OR(Planner!B12="",Planner!G12=0),"",Planner!A12)</f>
        <v>3</v>
      </c>
      <c r="B55" s="45" t="str">
        <f aca="false">IF(OR(Planner!B12="",Planner!G12=0),"",Planner!B12)</f>
        <v>2x6</v>
      </c>
      <c r="C55" s="11" t="n">
        <f aca="false">IF(OR(Planner!B12="",Planner!G12=0),"",Planner!C12)</f>
        <v>14</v>
      </c>
      <c r="D55" s="45" t="str">
        <f aca="false">IF(OR(Planner!B12="",Planner!G12=0),"",Planner!D12)</f>
        <v>2</v>
      </c>
      <c r="E55" s="17" t="n">
        <f aca="false">IF(OR(Planner!B12="",Planner!G12=0),"",Planner!G12)</f>
        <v>12</v>
      </c>
    </row>
    <row r="56" customFormat="false" ht="15" hidden="false" customHeight="false" outlineLevel="0" collapsed="false">
      <c r="A56" s="11" t="n">
        <f aca="false">IF(OR(Planner!B13="",Planner!G13=0),"",Planner!A13)</f>
        <v>4</v>
      </c>
      <c r="B56" s="45" t="str">
        <f aca="false">IF(OR(Planner!B13="",Planner!G13=0),"",Planner!B13)</f>
        <v>2x8</v>
      </c>
      <c r="C56" s="11" t="n">
        <f aca="false">IF(OR(Planner!B13="",Planner!G13=0),"",Planner!C13)</f>
        <v>14</v>
      </c>
      <c r="D56" s="45" t="str">
        <f aca="false">IF(OR(Planner!B13="",Planner!G13=0),"",Planner!D13)</f>
        <v>MSR</v>
      </c>
      <c r="E56" s="17" t="n">
        <f aca="false">IF(OR(Planner!B13="",Planner!G13=0),"",Planner!G13)</f>
        <v>8</v>
      </c>
    </row>
    <row r="57" customFormat="false" ht="15" hidden="false" customHeight="false" outlineLevel="0" collapsed="false">
      <c r="A57" s="11" t="n">
        <f aca="false">IF(OR(Planner!B14="",Planner!G14=0),"",Planner!A14)</f>
        <v>5</v>
      </c>
      <c r="B57" s="45" t="str">
        <f aca="false">IF(OR(Planner!B14="",Planner!G14=0),"",Planner!B14)</f>
        <v>2x4</v>
      </c>
      <c r="C57" s="11" t="n">
        <f aca="false">IF(OR(Planner!B14="",Planner!G14=0),"",Planner!C14)</f>
        <v>12</v>
      </c>
      <c r="D57" s="45" t="str">
        <f aca="false">IF(OR(Planner!B14="",Planner!G14=0),"",Planner!D14)</f>
        <v>1</v>
      </c>
      <c r="E57" s="17" t="n">
        <f aca="false">IF(OR(Planner!B14="",Planner!G14=0),"",Planner!G14)</f>
        <v>30</v>
      </c>
    </row>
    <row r="58" customFormat="false" ht="15" hidden="false" customHeight="false" outlineLevel="0" collapsed="false">
      <c r="A58" s="11" t="str">
        <f aca="false">IF(OR(Planner!B15="",Planner!G15=0),"",Planner!A15)</f>
        <v/>
      </c>
      <c r="B58" s="45" t="str">
        <f aca="false">IF(OR(Planner!B15="",Planner!G15=0),"",Planner!B15)</f>
        <v/>
      </c>
      <c r="C58" s="11" t="str">
        <f aca="false">IF(OR(Planner!B15="",Planner!G15=0),"",Planner!C15)</f>
        <v/>
      </c>
      <c r="D58" s="45" t="str">
        <f aca="false">IF(OR(Planner!B15="",Planner!G15=0),"",Planner!D15)</f>
        <v/>
      </c>
      <c r="E58" s="17" t="str">
        <f aca="false">IF(OR(Planner!B15="",Planner!G15=0),"",Planner!G15)</f>
        <v/>
      </c>
    </row>
    <row r="59" customFormat="false" ht="15" hidden="false" customHeight="false" outlineLevel="0" collapsed="false">
      <c r="A59" s="11" t="str">
        <f aca="false">IF(OR(Planner!B16="",Planner!G16=0),"",Planner!A16)</f>
        <v/>
      </c>
      <c r="B59" s="45" t="str">
        <f aca="false">IF(OR(Planner!B16="",Planner!G16=0),"",Planner!B16)</f>
        <v/>
      </c>
      <c r="C59" s="11" t="str">
        <f aca="false">IF(OR(Planner!B16="",Planner!G16=0),"",Planner!C16)</f>
        <v/>
      </c>
      <c r="D59" s="45" t="str">
        <f aca="false">IF(OR(Planner!B16="",Planner!G16=0),"",Planner!D16)</f>
        <v/>
      </c>
      <c r="E59" s="17" t="str">
        <f aca="false">IF(OR(Planner!B16="",Planner!G16=0),"",Planner!G16)</f>
        <v/>
      </c>
    </row>
    <row r="60" customFormat="false" ht="15" hidden="false" customHeight="false" outlineLevel="0" collapsed="false">
      <c r="A60" s="11" t="str">
        <f aca="false">IF(OR(Planner!B17="",Planner!G17=0),"",Planner!A17)</f>
        <v/>
      </c>
      <c r="B60" s="45" t="str">
        <f aca="false">IF(OR(Planner!B17="",Planner!G17=0),"",Planner!B17)</f>
        <v/>
      </c>
      <c r="C60" s="11" t="str">
        <f aca="false">IF(OR(Planner!B17="",Planner!G17=0),"",Planner!C17)</f>
        <v/>
      </c>
      <c r="D60" s="45" t="str">
        <f aca="false">IF(OR(Planner!B17="",Planner!G17=0),"",Planner!D17)</f>
        <v/>
      </c>
      <c r="E60" s="17" t="str">
        <f aca="false">IF(OR(Planner!B17="",Planner!G17=0),"",Planner!G17)</f>
        <v/>
      </c>
    </row>
    <row r="61" customFormat="false" ht="15" hidden="false" customHeight="false" outlineLevel="0" collapsed="false">
      <c r="A61" s="11" t="str">
        <f aca="false">IF(OR(Planner!B18="",Planner!G18=0),"",Planner!A18)</f>
        <v/>
      </c>
      <c r="B61" s="45" t="str">
        <f aca="false">IF(OR(Planner!B18="",Planner!G18=0),"",Planner!B18)</f>
        <v/>
      </c>
      <c r="C61" s="11" t="str">
        <f aca="false">IF(OR(Planner!B18="",Planner!G18=0),"",Planner!C18)</f>
        <v/>
      </c>
      <c r="D61" s="45" t="str">
        <f aca="false">IF(OR(Planner!B18="",Planner!G18=0),"",Planner!D18)</f>
        <v/>
      </c>
      <c r="E61" s="17" t="str">
        <f aca="false">IF(OR(Planner!B18="",Planner!G18=0),"",Planner!G18)</f>
        <v/>
      </c>
    </row>
    <row r="62" customFormat="false" ht="15" hidden="false" customHeight="false" outlineLevel="0" collapsed="false">
      <c r="A62" s="11" t="str">
        <f aca="false">IF(OR(Planner!B19="",Planner!G19=0),"",Planner!A19)</f>
        <v/>
      </c>
      <c r="B62" s="45" t="str">
        <f aca="false">IF(OR(Planner!B19="",Planner!G19=0),"",Planner!B19)</f>
        <v/>
      </c>
      <c r="C62" s="11" t="str">
        <f aca="false">IF(OR(Planner!B19="",Planner!G19=0),"",Planner!C19)</f>
        <v/>
      </c>
      <c r="D62" s="45" t="str">
        <f aca="false">IF(OR(Planner!B19="",Planner!G19=0),"",Planner!D19)</f>
        <v/>
      </c>
      <c r="E62" s="17" t="str">
        <f aca="false">IF(OR(Planner!B19="",Planner!G19=0),"",Planner!G19)</f>
        <v/>
      </c>
    </row>
    <row r="63" customFormat="false" ht="15" hidden="false" customHeight="false" outlineLevel="0" collapsed="false">
      <c r="A63" s="11" t="str">
        <f aca="false">IF(OR(Planner!B20="",Planner!G20=0),"",Planner!A20)</f>
        <v/>
      </c>
      <c r="B63" s="45" t="str">
        <f aca="false">IF(OR(Planner!B20="",Planner!G20=0),"",Planner!B20)</f>
        <v/>
      </c>
      <c r="C63" s="11" t="str">
        <f aca="false">IF(OR(Planner!B20="",Planner!G20=0),"",Planner!C20)</f>
        <v/>
      </c>
      <c r="D63" s="45" t="str">
        <f aca="false">IF(OR(Planner!B20="",Planner!G20=0),"",Planner!D20)</f>
        <v/>
      </c>
      <c r="E63" s="17" t="str">
        <f aca="false">IF(OR(Planner!B20="",Planner!G20=0),"",Planner!G20)</f>
        <v/>
      </c>
    </row>
    <row r="64" customFormat="false" ht="15" hidden="false" customHeight="false" outlineLevel="0" collapsed="false">
      <c r="A64" s="11" t="str">
        <f aca="false">IF(OR(Planner!B21="",Planner!G21=0),"",Planner!A21)</f>
        <v/>
      </c>
      <c r="B64" s="45" t="str">
        <f aca="false">IF(OR(Planner!B21="",Planner!G21=0),"",Planner!B21)</f>
        <v/>
      </c>
      <c r="C64" s="11" t="str">
        <f aca="false">IF(OR(Planner!B21="",Planner!G21=0),"",Planner!C21)</f>
        <v/>
      </c>
      <c r="D64" s="45" t="str">
        <f aca="false">IF(OR(Planner!B21="",Planner!G21=0),"",Planner!D21)</f>
        <v/>
      </c>
      <c r="E64" s="17" t="str">
        <f aca="false">IF(OR(Planner!B21="",Planner!G21=0),"",Planner!G21)</f>
        <v/>
      </c>
    </row>
    <row r="65" customFormat="false" ht="15" hidden="false" customHeight="false" outlineLevel="0" collapsed="false">
      <c r="A65" s="11" t="str">
        <f aca="false">IF(OR(Planner!B22="",Planner!G22=0),"",Planner!A22)</f>
        <v/>
      </c>
      <c r="B65" s="45" t="str">
        <f aca="false">IF(OR(Planner!B22="",Planner!G22=0),"",Planner!B22)</f>
        <v/>
      </c>
      <c r="C65" s="11" t="str">
        <f aca="false">IF(OR(Planner!B22="",Planner!G22=0),"",Planner!C22)</f>
        <v/>
      </c>
      <c r="D65" s="45" t="str">
        <f aca="false">IF(OR(Planner!B22="",Planner!G22=0),"",Planner!D22)</f>
        <v/>
      </c>
      <c r="E65" s="17" t="str">
        <f aca="false">IF(OR(Planner!B22="",Planner!G22=0),"",Planner!G22)</f>
        <v/>
      </c>
    </row>
    <row r="66" customFormat="false" ht="15" hidden="false" customHeight="false" outlineLevel="0" collapsed="false">
      <c r="A66" s="11" t="str">
        <f aca="false">IF(OR(Planner!B23="",Planner!G23=0),"",Planner!A23)</f>
        <v/>
      </c>
      <c r="B66" s="45" t="str">
        <f aca="false">IF(OR(Planner!B23="",Planner!G23=0),"",Planner!B23)</f>
        <v/>
      </c>
      <c r="C66" s="11" t="str">
        <f aca="false">IF(OR(Planner!B23="",Planner!G23=0),"",Planner!C23)</f>
        <v/>
      </c>
      <c r="D66" s="45" t="str">
        <f aca="false">IF(OR(Planner!B23="",Planner!G23=0),"",Planner!D23)</f>
        <v/>
      </c>
      <c r="E66" s="17" t="str">
        <f aca="false">IF(OR(Planner!B23="",Planner!G23=0),"",Planner!G23)</f>
        <v/>
      </c>
    </row>
    <row r="67" customFormat="false" ht="15" hidden="false" customHeight="false" outlineLevel="0" collapsed="false">
      <c r="A67" s="11" t="str">
        <f aca="false">IF(OR(Planner!B24="",Planner!G24=0),"",Planner!A24)</f>
        <v/>
      </c>
      <c r="B67" s="45" t="str">
        <f aca="false">IF(OR(Planner!B24="",Planner!G24=0),"",Planner!B24)</f>
        <v/>
      </c>
      <c r="C67" s="11" t="str">
        <f aca="false">IF(OR(Planner!B24="",Planner!G24=0),"",Planner!C24)</f>
        <v/>
      </c>
      <c r="D67" s="45" t="str">
        <f aca="false">IF(OR(Planner!B24="",Planner!G24=0),"",Planner!D24)</f>
        <v/>
      </c>
      <c r="E67" s="17" t="str">
        <f aca="false">IF(OR(Planner!B24="",Planner!G24=0),"",Planner!G24)</f>
        <v/>
      </c>
    </row>
    <row r="68" customFormat="false" ht="15" hidden="false" customHeight="false" outlineLevel="0" collapsed="false">
      <c r="A68" s="11" t="str">
        <f aca="false">IF(OR(Planner!B25="",Planner!G25=0),"",Planner!A25)</f>
        <v/>
      </c>
      <c r="B68" s="45" t="str">
        <f aca="false">IF(OR(Planner!B25="",Planner!G25=0),"",Planner!B25)</f>
        <v/>
      </c>
      <c r="C68" s="11" t="str">
        <f aca="false">IF(OR(Planner!B25="",Planner!G25=0),"",Planner!C25)</f>
        <v/>
      </c>
      <c r="D68" s="45" t="str">
        <f aca="false">IF(OR(Planner!B25="",Planner!G25=0),"",Planner!D25)</f>
        <v/>
      </c>
      <c r="E68" s="17" t="str">
        <f aca="false">IF(OR(Planner!B25="",Planner!G25=0),"",Planner!G25)</f>
        <v/>
      </c>
    </row>
    <row r="69" customFormat="false" ht="15" hidden="false" customHeight="false" outlineLevel="0" collapsed="false">
      <c r="A69" s="11" t="str">
        <f aca="false">IF(OR(Planner!B26="",Planner!G26=0),"",Planner!A26)</f>
        <v/>
      </c>
      <c r="B69" s="45" t="str">
        <f aca="false">IF(OR(Planner!B26="",Planner!G26=0),"",Planner!B26)</f>
        <v/>
      </c>
      <c r="C69" s="11" t="str">
        <f aca="false">IF(OR(Planner!B26="",Planner!G26=0),"",Planner!C26)</f>
        <v/>
      </c>
      <c r="D69" s="45" t="str">
        <f aca="false">IF(OR(Planner!B26="",Planner!G26=0),"",Planner!D26)</f>
        <v/>
      </c>
      <c r="E69" s="17" t="str">
        <f aca="false">IF(OR(Planner!B26="",Planner!G26=0),"",Planner!G26)</f>
        <v/>
      </c>
    </row>
    <row r="70" customFormat="false" ht="15" hidden="false" customHeight="false" outlineLevel="0" collapsed="false">
      <c r="A70" s="11" t="str">
        <f aca="false">IF(OR(Planner!B27="",Planner!G27=0),"",Planner!A27)</f>
        <v/>
      </c>
      <c r="B70" s="45" t="str">
        <f aca="false">IF(OR(Planner!B27="",Planner!G27=0),"",Planner!B27)</f>
        <v/>
      </c>
      <c r="C70" s="11" t="str">
        <f aca="false">IF(OR(Planner!B27="",Planner!G27=0),"",Planner!C27)</f>
        <v/>
      </c>
      <c r="D70" s="45" t="str">
        <f aca="false">IF(OR(Planner!B27="",Planner!G27=0),"",Planner!D27)</f>
        <v/>
      </c>
      <c r="E70" s="17" t="str">
        <f aca="false">IF(OR(Planner!B27="",Planner!G27=0),"",Planner!G27)</f>
        <v/>
      </c>
    </row>
    <row r="71" customFormat="false" ht="15" hidden="false" customHeight="false" outlineLevel="0" collapsed="false">
      <c r="A71" s="11" t="str">
        <f aca="false">IF(OR(Planner!B28="",Planner!G28=0),"",Planner!A28)</f>
        <v/>
      </c>
      <c r="B71" s="45" t="str">
        <f aca="false">IF(OR(Planner!B28="",Planner!G28=0),"",Planner!B28)</f>
        <v/>
      </c>
      <c r="C71" s="11" t="str">
        <f aca="false">IF(OR(Planner!B28="",Planner!G28=0),"",Planner!C28)</f>
        <v/>
      </c>
      <c r="D71" s="45" t="str">
        <f aca="false">IF(OR(Planner!B28="",Planner!G28=0),"",Planner!D28)</f>
        <v/>
      </c>
      <c r="E71" s="17" t="str">
        <f aca="false">IF(OR(Planner!B28="",Planner!G28=0),"",Planner!G28)</f>
        <v/>
      </c>
    </row>
    <row r="72" customFormat="false" ht="15" hidden="false" customHeight="false" outlineLevel="0" collapsed="false">
      <c r="A72" s="11" t="str">
        <f aca="false">IF(OR(Planner!B29="",Planner!G29=0),"",Planner!A29)</f>
        <v/>
      </c>
      <c r="B72" s="45" t="str">
        <f aca="false">IF(OR(Planner!B29="",Planner!G29=0),"",Planner!B29)</f>
        <v/>
      </c>
      <c r="C72" s="11" t="str">
        <f aca="false">IF(OR(Planner!B29="",Planner!G29=0),"",Planner!C29)</f>
        <v/>
      </c>
      <c r="D72" s="45" t="str">
        <f aca="false">IF(OR(Planner!B29="",Planner!G29=0),"",Planner!D29)</f>
        <v/>
      </c>
      <c r="E72" s="17" t="str">
        <f aca="false">IF(OR(Planner!B29="",Planner!G29=0),"",Planner!G29)</f>
        <v/>
      </c>
    </row>
    <row r="73" customFormat="false" ht="15" hidden="false" customHeight="false" outlineLevel="0" collapsed="false">
      <c r="A73" s="16" t="s">
        <v>29</v>
      </c>
      <c r="B73" s="16"/>
      <c r="C73" s="16"/>
      <c r="D73" s="16"/>
      <c r="E73" s="17" t="n">
        <f aca="false">SUM(E53:E72)</f>
        <v>55</v>
      </c>
    </row>
  </sheetData>
  <mergeCells count="8">
    <mergeCell ref="A1:F1"/>
    <mergeCell ref="A2:L2"/>
    <mergeCell ref="A13:L13"/>
    <mergeCell ref="A30:C30"/>
    <mergeCell ref="E30:G30"/>
    <mergeCell ref="A40:H40"/>
    <mergeCell ref="A51:E51"/>
    <mergeCell ref="A73:D73"/>
  </mergeCells>
  <conditionalFormatting sqref="B15:J28">
    <cfRule type="expression" priority="2" aboveAverage="0" equalAverage="0" bottom="0" percent="0" rank="0" text="" dxfId="0">
      <formula>AND(B15&lt;&gt;"",IFERROR(MID(B15,FIND("-",B15)+1,FIND("-",B15,FIND("-",B15)+1)-FIND("-",B15)-1),"")="8")</formula>
    </cfRule>
    <cfRule type="expression" priority="3" aboveAverage="0" equalAverage="0" bottom="0" percent="0" rank="0" text="" dxfId="1">
      <formula>AND(B15&lt;&gt;"",IFERROR(MID(B15,FIND("-",B15)+1,FIND("-",B15,FIND("-",B15)+1)-FIND("-",B15)-1),"")="10")</formula>
    </cfRule>
    <cfRule type="expression" priority="4" aboveAverage="0" equalAverage="0" bottom="0" percent="0" rank="0" text="" dxfId="2">
      <formula>AND(B15&lt;&gt;"",IFERROR(MID(B15,FIND("-",B15)+1,FIND("-",B15,FIND("-",B15)+1)-FIND("-",B15)-1),"")="12")</formula>
    </cfRule>
    <cfRule type="expression" priority="5" aboveAverage="0" equalAverage="0" bottom="0" percent="0" rank="0" text="" dxfId="3">
      <formula>AND(B15&lt;&gt;"",IFERROR(MID(B15,FIND("-",B15)+1,FIND("-",B15,FIND("-",B15)+1)-FIND("-",B15)-1),"")="14")</formula>
    </cfRule>
    <cfRule type="expression" priority="6" aboveAverage="0" equalAverage="0" bottom="0" percent="0" rank="0" text="" dxfId="4">
      <formula>AND(B15&lt;&gt;"",IFERROR(MID(B15,FIND("-",B15)+1,FIND("-",B15,FIND("-",B15)+1)-FIND("-",B15)-1),"")="16")</formula>
    </cfRule>
    <cfRule type="expression" priority="7" aboveAverage="0" equalAverage="0" bottom="0" percent="0" rank="0" text="" dxfId="5">
      <formula>AND(B15&lt;&gt;"",IFERROR(MID(B15,FIND("-",B15)+1,FIND("-",B15,FIND("-",B15)+1)-FIND("-",B15)-1),"")="18")</formula>
    </cfRule>
    <cfRule type="expression" priority="8" aboveAverage="0" equalAverage="0" bottom="0" percent="0" rank="0" text="" dxfId="6">
      <formula>AND(B15&lt;&gt;"",IFERROR(MID(B15,FIND("-",B15)+1,FIND("-",B15,FIND("-",B15)+1)-FIND("-",B15)-1),"")="20")</formula>
    </cfRule>
    <cfRule type="expression" priority="9" aboveAverage="0" equalAverage="0" bottom="0" percent="0" rank="0" text="" dxfId="7">
      <formula>AND(B15&lt;&gt;"",IFERROR(LEFT(B15,FIND("-",B15)-1),"")="2x4")</formula>
    </cfRule>
    <cfRule type="expression" priority="10" aboveAverage="0" equalAverage="0" bottom="0" percent="0" rank="0" text="" dxfId="8">
      <formula>AND(B15&lt;&gt;"",IFERROR(LEFT(B15,FIND("-",B15)-1),"")="2x6")</formula>
    </cfRule>
    <cfRule type="expression" priority="11" aboveAverage="0" equalAverage="0" bottom="0" percent="0" rank="0" text="" dxfId="9">
      <formula>AND(B15&lt;&gt;"",IFERROR(LEFT(B15,FIND("-",B15)-1),"")="2x8")</formula>
    </cfRule>
    <cfRule type="expression" priority="12" aboveAverage="0" equalAverage="0" bottom="0" percent="0" rank="0" text="" dxfId="10">
      <formula>AND(B15&lt;&gt;"",IFERROR(LEFT(B15,FIND("-",B15)-1),"")="2x10")</formula>
    </cfRule>
    <cfRule type="expression" priority="13" aboveAverage="0" equalAverage="0" bottom="0" percent="0" rank="0" text="" dxfId="11">
      <formula>AND(B15&lt;&gt;"",IFERROR(LEFT(B15,FIND("-",B15)-1),"")="4x4")</formula>
    </cfRule>
    <cfRule type="expression" priority="14" aboveAverage="0" equalAverage="0" bottom="0" percent="0" rank="0" text="" dxfId="12">
      <formula>AND(B15&lt;&gt;"",IFERROR(LEFT(B15,FIND("-",B15)-1),"")="4x6")</formula>
    </cfRule>
    <cfRule type="expression" priority="15" aboveAverage="0" equalAverage="0" bottom="0" percent="0" rank="0" text="" dxfId="13">
      <formula>AND(B15&lt;&gt;"",IFERROR(LEFT(B15,FIND("-",B15)-1),"")="6x6")</formula>
    </cfRule>
    <cfRule type="expression" priority="16" aboveAverage="0" equalAverage="0" bottom="0" percent="0" rank="0" text="" dxfId="14">
      <formula>AND(B15&lt;&gt;"",IFERROR(MID(B15,FIND("-",B15,FIND("-",B15)+1)+1,9),"")="1")</formula>
    </cfRule>
    <cfRule type="expression" priority="17" aboveAverage="0" equalAverage="0" bottom="0" percent="0" rank="0" text="" dxfId="15">
      <formula>AND(B15&lt;&gt;"",IFERROR(MID(B15,FIND("-",B15,FIND("-",B15)+1)+1,9),"")="2")</formula>
    </cfRule>
    <cfRule type="expression" priority="18" aboveAverage="0" equalAverage="0" bottom="0" percent="0" rank="0" text="" dxfId="16">
      <formula>AND(B15&lt;&gt;"",IFERROR(MID(B15,FIND("-",B15,FIND("-",B15)+1)+1,9),"")="3")</formula>
    </cfRule>
    <cfRule type="expression" priority="19" aboveAverage="0" equalAverage="0" bottom="0" percent="0" rank="0" text="" dxfId="17">
      <formula>AND(B15&lt;&gt;"",IFERROR(MID(B15,FIND("-",B15,FIND("-",B15)+1)+1,9),"")="4")</formula>
    </cfRule>
    <cfRule type="expression" priority="20" aboveAverage="0" equalAverage="0" bottom="0" percent="0" rank="0" text="" dxfId="18">
      <formula>AND(B15&lt;&gt;"",IFERROR(MID(B15,FIND("-",B15,FIND("-",B15)+1)+1,9),"")="2P")</formula>
    </cfRule>
    <cfRule type="expression" priority="21" aboveAverage="0" equalAverage="0" bottom="0" percent="0" rank="0" text="" dxfId="19">
      <formula>AND(B15&lt;&gt;"",IFERROR(MID(B15,FIND("-",B15,FIND("-",B15)+1)+1,9),"")="MSR")</formula>
    </cfRule>
    <cfRule type="expression" priority="22" aboveAverage="0" equalAverage="0" bottom="0" percent="0" rank="0" text="" dxfId="20">
      <formula>ROW()-14&gt;Planner!$C$5</formula>
    </cfRule>
  </conditionalFormatting>
  <conditionalFormatting sqref="L15:L28">
    <cfRule type="expression" priority="23" aboveAverage="0" equalAverage="0" bottom="0" percent="0" rank="0" text="" dxfId="21">
      <formula>LEFT(L15,2)="OK"</formula>
    </cfRule>
    <cfRule type="expression" priority="24" aboveAverage="0" equalAverage="0" bottom="0" percent="0" rank="0" text="" dxfId="22">
      <formula>LEFT(L15,4)="OVER"</formula>
    </cfRule>
    <cfRule type="expression" priority="25" aboveAverage="0" equalAverage="0" bottom="0" percent="0" rank="0" text="" dxfId="23">
      <formula>LEFT(L15,5)="SHORT"</formula>
    </cfRule>
    <cfRule type="expression" priority="26" aboveAverage="0" equalAverage="0" bottom="0" percent="0" rank="0" text="" dxfId="24">
      <formula>L15="— unused —"</formula>
    </cfRule>
  </conditionalFormatting>
  <conditionalFormatting sqref="C53:C72">
    <cfRule type="expression" priority="27" aboveAverage="0" equalAverage="0" bottom="0" percent="0" rank="0" text="" dxfId="25">
      <formula>C53&amp;""="8"</formula>
    </cfRule>
    <cfRule type="expression" priority="28" aboveAverage="0" equalAverage="0" bottom="0" percent="0" rank="0" text="" dxfId="26">
      <formula>C53&amp;""="10"</formula>
    </cfRule>
    <cfRule type="expression" priority="29" aboveAverage="0" equalAverage="0" bottom="0" percent="0" rank="0" text="" dxfId="27">
      <formula>C53&amp;""="12"</formula>
    </cfRule>
    <cfRule type="expression" priority="30" aboveAverage="0" equalAverage="0" bottom="0" percent="0" rank="0" text="" dxfId="28">
      <formula>C53&amp;""="14"</formula>
    </cfRule>
    <cfRule type="expression" priority="31" aboveAverage="0" equalAverage="0" bottom="0" percent="0" rank="0" text="" dxfId="29">
      <formula>C53&amp;""="16"</formula>
    </cfRule>
    <cfRule type="expression" priority="32" aboveAverage="0" equalAverage="0" bottom="0" percent="0" rank="0" text="" dxfId="30">
      <formula>C53&amp;""="18"</formula>
    </cfRule>
    <cfRule type="expression" priority="33" aboveAverage="0" equalAverage="0" bottom="0" percent="0" rank="0" text="" dxfId="31">
      <formula>C53&amp;""="20"</formula>
    </cfRule>
  </conditionalFormatting>
  <conditionalFormatting sqref="B53:B72">
    <cfRule type="expression" priority="34" aboveAverage="0" equalAverage="0" bottom="0" percent="0" rank="0" text="" dxfId="32">
      <formula>B53="2x4"</formula>
    </cfRule>
    <cfRule type="expression" priority="35" aboveAverage="0" equalAverage="0" bottom="0" percent="0" rank="0" text="" dxfId="33">
      <formula>B53="2x6"</formula>
    </cfRule>
    <cfRule type="expression" priority="36" aboveAverage="0" equalAverage="0" bottom="0" percent="0" rank="0" text="" dxfId="34">
      <formula>B53="2x8"</formula>
    </cfRule>
    <cfRule type="expression" priority="37" aboveAverage="0" equalAverage="0" bottom="0" percent="0" rank="0" text="" dxfId="35">
      <formula>B53="2x10"</formula>
    </cfRule>
    <cfRule type="expression" priority="38" aboveAverage="0" equalAverage="0" bottom="0" percent="0" rank="0" text="" dxfId="36">
      <formula>B53="4x4"</formula>
    </cfRule>
    <cfRule type="expression" priority="39" aboveAverage="0" equalAverage="0" bottom="0" percent="0" rank="0" text="" dxfId="37">
      <formula>B53="4x6"</formula>
    </cfRule>
    <cfRule type="expression" priority="40" aboveAverage="0" equalAverage="0" bottom="0" percent="0" rank="0" text="" dxfId="38">
      <formula>B53="6x6"</formula>
    </cfRule>
  </conditionalFormatting>
  <conditionalFormatting sqref="D53:D72">
    <cfRule type="expression" priority="41" aboveAverage="0" equalAverage="0" bottom="0" percent="0" rank="0" text="" dxfId="39">
      <formula>D53&amp;""="1"</formula>
    </cfRule>
    <cfRule type="expression" priority="42" aboveAverage="0" equalAverage="0" bottom="0" percent="0" rank="0" text="" dxfId="40">
      <formula>D53&amp;""="2"</formula>
    </cfRule>
    <cfRule type="expression" priority="43" aboveAverage="0" equalAverage="0" bottom="0" percent="0" rank="0" text="" dxfId="41">
      <formula>D53&amp;""="3"</formula>
    </cfRule>
    <cfRule type="expression" priority="44" aboveAverage="0" equalAverage="0" bottom="0" percent="0" rank="0" text="" dxfId="42">
      <formula>D53&amp;""="4"</formula>
    </cfRule>
    <cfRule type="expression" priority="45" aboveAverage="0" equalAverage="0" bottom="0" percent="0" rank="0" text="" dxfId="43">
      <formula>D53&amp;""="2P"</formula>
    </cfRule>
    <cfRule type="expression" priority="46" aboveAverage="0" equalAverage="0" bottom="0" percent="0" rank="0" text="" dxfId="44">
      <formula>D53&amp;""="MSR"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9" min="3" style="0" width="5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65" t="s">
        <v>99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8" t="s">
        <v>6</v>
      </c>
      <c r="B4" s="8" t="s">
        <v>101</v>
      </c>
      <c r="C4" s="22" t="s">
        <v>63</v>
      </c>
      <c r="D4" s="23" t="s">
        <v>64</v>
      </c>
      <c r="E4" s="24" t="s">
        <v>65</v>
      </c>
      <c r="F4" s="25" t="s">
        <v>66</v>
      </c>
      <c r="G4" s="26" t="s">
        <v>67</v>
      </c>
      <c r="H4" s="27" t="s">
        <v>68</v>
      </c>
      <c r="I4" s="28" t="s">
        <v>69</v>
      </c>
      <c r="J4" s="8" t="s">
        <v>41</v>
      </c>
    </row>
    <row r="5" customFormat="false" ht="15" hidden="false" customHeight="false" outlineLevel="0" collapsed="false">
      <c r="A5" s="11" t="n">
        <v>1</v>
      </c>
      <c r="B5" s="66" t="s">
        <v>102</v>
      </c>
      <c r="C5" s="11"/>
      <c r="D5" s="11"/>
      <c r="E5" s="67" t="n">
        <v>1</v>
      </c>
      <c r="F5" s="11"/>
      <c r="G5" s="11"/>
      <c r="H5" s="11"/>
      <c r="I5" s="68" t="n">
        <v>3</v>
      </c>
      <c r="J5" s="17" t="n">
        <v>72</v>
      </c>
    </row>
    <row r="6" customFormat="false" ht="15" hidden="false" customHeight="false" outlineLevel="0" collapsed="false">
      <c r="A6" s="11" t="n">
        <v>2</v>
      </c>
      <c r="B6" s="66" t="s">
        <v>103</v>
      </c>
      <c r="C6" s="11"/>
      <c r="D6" s="11"/>
      <c r="E6" s="11"/>
      <c r="F6" s="69" t="n">
        <v>1</v>
      </c>
      <c r="G6" s="11"/>
      <c r="H6" s="70" t="n">
        <v>1</v>
      </c>
      <c r="I6" s="68" t="n">
        <v>2</v>
      </c>
      <c r="J6" s="17" t="n">
        <v>72</v>
      </c>
    </row>
    <row r="7" customFormat="false" ht="15" hidden="false" customHeight="false" outlineLevel="0" collapsed="false">
      <c r="A7" s="11" t="n">
        <v>3</v>
      </c>
      <c r="B7" s="66" t="s">
        <v>104</v>
      </c>
      <c r="C7" s="11"/>
      <c r="D7" s="11"/>
      <c r="E7" s="11"/>
      <c r="F7" s="11"/>
      <c r="G7" s="71" t="n">
        <v>2</v>
      </c>
      <c r="H7" s="11"/>
      <c r="I7" s="68" t="n">
        <v>2</v>
      </c>
      <c r="J7" s="17" t="n">
        <v>72</v>
      </c>
    </row>
    <row r="8" customFormat="false" ht="15" hidden="false" customHeight="false" outlineLevel="0" collapsed="false">
      <c r="A8" s="11" t="n">
        <v>4</v>
      </c>
      <c r="B8" s="66" t="s">
        <v>105</v>
      </c>
      <c r="C8" s="11"/>
      <c r="D8" s="11"/>
      <c r="E8" s="11"/>
      <c r="F8" s="11"/>
      <c r="G8" s="71" t="n">
        <v>1</v>
      </c>
      <c r="H8" s="70" t="n">
        <v>2</v>
      </c>
      <c r="I8" s="68" t="n">
        <v>1</v>
      </c>
      <c r="J8" s="17" t="n">
        <v>72</v>
      </c>
    </row>
    <row r="9" customFormat="false" ht="15" hidden="false" customHeight="false" outlineLevel="0" collapsed="false">
      <c r="A9" s="11" t="n">
        <v>5</v>
      </c>
      <c r="B9" s="66" t="s">
        <v>106</v>
      </c>
      <c r="C9" s="11"/>
      <c r="D9" s="11"/>
      <c r="E9" s="11"/>
      <c r="F9" s="11"/>
      <c r="G9" s="11"/>
      <c r="H9" s="70" t="n">
        <v>4</v>
      </c>
      <c r="I9" s="11"/>
      <c r="J9" s="17" t="n">
        <v>72</v>
      </c>
    </row>
    <row r="10" customFormat="false" ht="15" hidden="false" customHeight="false" outlineLevel="0" collapsed="false">
      <c r="A10" s="11" t="n">
        <v>6</v>
      </c>
      <c r="B10" s="66" t="s">
        <v>107</v>
      </c>
      <c r="C10" s="72" t="n">
        <v>2</v>
      </c>
      <c r="D10" s="11"/>
      <c r="E10" s="11"/>
      <c r="F10" s="11"/>
      <c r="G10" s="71" t="n">
        <v>1</v>
      </c>
      <c r="H10" s="11"/>
      <c r="I10" s="68" t="n">
        <v>2</v>
      </c>
      <c r="J10" s="17" t="n">
        <v>72</v>
      </c>
    </row>
    <row r="11" customFormat="false" ht="15" hidden="false" customHeight="false" outlineLevel="0" collapsed="false">
      <c r="A11" s="11" t="n">
        <v>7</v>
      </c>
      <c r="B11" s="66" t="s">
        <v>108</v>
      </c>
      <c r="C11" s="72" t="n">
        <v>1</v>
      </c>
      <c r="D11" s="73" t="n">
        <v>1</v>
      </c>
      <c r="E11" s="11"/>
      <c r="F11" s="69" t="n">
        <v>1</v>
      </c>
      <c r="G11" s="11"/>
      <c r="H11" s="11"/>
      <c r="I11" s="68" t="n">
        <v>2</v>
      </c>
      <c r="J11" s="17" t="n">
        <v>72</v>
      </c>
    </row>
    <row r="12" customFormat="false" ht="15" hidden="false" customHeight="false" outlineLevel="0" collapsed="false">
      <c r="A12" s="11" t="n">
        <v>8</v>
      </c>
      <c r="B12" s="66" t="s">
        <v>109</v>
      </c>
      <c r="C12" s="72" t="n">
        <v>1</v>
      </c>
      <c r="D12" s="11"/>
      <c r="E12" s="67" t="n">
        <v>2</v>
      </c>
      <c r="F12" s="11"/>
      <c r="G12" s="11"/>
      <c r="H12" s="11"/>
      <c r="I12" s="68" t="n">
        <v>2</v>
      </c>
      <c r="J12" s="17" t="n">
        <v>72</v>
      </c>
    </row>
    <row r="13" customFormat="false" ht="15" hidden="false" customHeight="false" outlineLevel="0" collapsed="false">
      <c r="A13" s="11" t="n">
        <v>9</v>
      </c>
      <c r="B13" s="66" t="s">
        <v>110</v>
      </c>
      <c r="C13" s="11"/>
      <c r="D13" s="73" t="n">
        <v>2</v>
      </c>
      <c r="E13" s="67" t="n">
        <v>1</v>
      </c>
      <c r="F13" s="11"/>
      <c r="G13" s="11"/>
      <c r="H13" s="11"/>
      <c r="I13" s="68" t="n">
        <v>2</v>
      </c>
      <c r="J13" s="17" t="n">
        <v>72</v>
      </c>
    </row>
    <row r="14" customFormat="false" ht="15" hidden="false" customHeight="false" outlineLevel="0" collapsed="false">
      <c r="A14" s="11" t="n">
        <v>10</v>
      </c>
      <c r="B14" s="66" t="s">
        <v>111</v>
      </c>
      <c r="C14" s="72" t="n">
        <v>2</v>
      </c>
      <c r="D14" s="11"/>
      <c r="E14" s="11"/>
      <c r="F14" s="11"/>
      <c r="G14" s="11"/>
      <c r="H14" s="70" t="n">
        <v>2</v>
      </c>
      <c r="I14" s="68" t="n">
        <v>1</v>
      </c>
      <c r="J14" s="17" t="n">
        <v>72</v>
      </c>
    </row>
    <row r="15" customFormat="false" ht="15" hidden="false" customHeight="false" outlineLevel="0" collapsed="false">
      <c r="A15" s="11" t="n">
        <v>11</v>
      </c>
      <c r="B15" s="66" t="s">
        <v>112</v>
      </c>
      <c r="C15" s="72" t="n">
        <v>1</v>
      </c>
      <c r="D15" s="73" t="n">
        <v>1</v>
      </c>
      <c r="E15" s="11"/>
      <c r="F15" s="11"/>
      <c r="G15" s="71" t="n">
        <v>1</v>
      </c>
      <c r="H15" s="70" t="n">
        <v>1</v>
      </c>
      <c r="I15" s="68" t="n">
        <v>1</v>
      </c>
      <c r="J15" s="17" t="n">
        <v>72</v>
      </c>
    </row>
    <row r="16" customFormat="false" ht="15" hidden="false" customHeight="false" outlineLevel="0" collapsed="false">
      <c r="A16" s="11" t="n">
        <v>12</v>
      </c>
      <c r="B16" s="66" t="s">
        <v>113</v>
      </c>
      <c r="C16" s="72" t="n">
        <v>1</v>
      </c>
      <c r="D16" s="11"/>
      <c r="E16" s="67" t="n">
        <v>1</v>
      </c>
      <c r="F16" s="69" t="n">
        <v>1</v>
      </c>
      <c r="G16" s="11"/>
      <c r="H16" s="70" t="n">
        <v>1</v>
      </c>
      <c r="I16" s="68" t="n">
        <v>1</v>
      </c>
      <c r="J16" s="17" t="n">
        <v>72</v>
      </c>
    </row>
    <row r="17" customFormat="false" ht="15" hidden="false" customHeight="false" outlineLevel="0" collapsed="false">
      <c r="A17" s="11" t="n">
        <v>13</v>
      </c>
      <c r="B17" s="66" t="s">
        <v>114</v>
      </c>
      <c r="C17" s="11"/>
      <c r="D17" s="73" t="n">
        <v>2</v>
      </c>
      <c r="E17" s="11"/>
      <c r="F17" s="69" t="n">
        <v>1</v>
      </c>
      <c r="G17" s="11"/>
      <c r="H17" s="70" t="n">
        <v>1</v>
      </c>
      <c r="I17" s="68" t="n">
        <v>1</v>
      </c>
      <c r="J17" s="17" t="n">
        <v>72</v>
      </c>
    </row>
    <row r="18" customFormat="false" ht="15" hidden="false" customHeight="false" outlineLevel="0" collapsed="false">
      <c r="A18" s="11" t="n">
        <v>14</v>
      </c>
      <c r="B18" s="66" t="s">
        <v>115</v>
      </c>
      <c r="C18" s="11"/>
      <c r="D18" s="73" t="n">
        <v>1</v>
      </c>
      <c r="E18" s="67" t="n">
        <v>2</v>
      </c>
      <c r="F18" s="11"/>
      <c r="G18" s="11"/>
      <c r="H18" s="70" t="n">
        <v>1</v>
      </c>
      <c r="I18" s="68" t="n">
        <v>1</v>
      </c>
      <c r="J18" s="17" t="n">
        <v>72</v>
      </c>
    </row>
    <row r="19" customFormat="false" ht="15" hidden="false" customHeight="false" outlineLevel="0" collapsed="false">
      <c r="A19" s="11" t="n">
        <v>15</v>
      </c>
      <c r="B19" s="66" t="s">
        <v>116</v>
      </c>
      <c r="C19" s="72" t="n">
        <v>1</v>
      </c>
      <c r="D19" s="11"/>
      <c r="E19" s="67" t="n">
        <v>1</v>
      </c>
      <c r="F19" s="11"/>
      <c r="G19" s="71" t="n">
        <v>2</v>
      </c>
      <c r="H19" s="11"/>
      <c r="I19" s="68" t="n">
        <v>1</v>
      </c>
      <c r="J19" s="17" t="n">
        <v>72</v>
      </c>
    </row>
    <row r="20" customFormat="false" ht="15" hidden="false" customHeight="false" outlineLevel="0" collapsed="false">
      <c r="A20" s="11" t="n">
        <v>16</v>
      </c>
      <c r="B20" s="66" t="s">
        <v>117</v>
      </c>
      <c r="C20" s="11"/>
      <c r="D20" s="73" t="n">
        <v>2</v>
      </c>
      <c r="E20" s="11"/>
      <c r="F20" s="11"/>
      <c r="G20" s="71" t="n">
        <v>2</v>
      </c>
      <c r="H20" s="11"/>
      <c r="I20" s="68" t="n">
        <v>1</v>
      </c>
      <c r="J20" s="17" t="n">
        <v>72</v>
      </c>
    </row>
    <row r="21" customFormat="false" ht="15" hidden="false" customHeight="false" outlineLevel="0" collapsed="false">
      <c r="A21" s="11" t="n">
        <v>17</v>
      </c>
      <c r="B21" s="66" t="s">
        <v>118</v>
      </c>
      <c r="C21" s="72" t="n">
        <v>1</v>
      </c>
      <c r="D21" s="11"/>
      <c r="E21" s="11"/>
      <c r="F21" s="69" t="n">
        <v>2</v>
      </c>
      <c r="G21" s="71" t="n">
        <v>1</v>
      </c>
      <c r="H21" s="11"/>
      <c r="I21" s="68" t="n">
        <v>1</v>
      </c>
      <c r="J21" s="17" t="n">
        <v>72</v>
      </c>
    </row>
    <row r="22" customFormat="false" ht="15" hidden="false" customHeight="false" outlineLevel="0" collapsed="false">
      <c r="A22" s="11" t="n">
        <v>18</v>
      </c>
      <c r="B22" s="66" t="s">
        <v>119</v>
      </c>
      <c r="C22" s="11"/>
      <c r="D22" s="73" t="n">
        <v>1</v>
      </c>
      <c r="E22" s="67" t="n">
        <v>1</v>
      </c>
      <c r="F22" s="69" t="n">
        <v>1</v>
      </c>
      <c r="G22" s="71" t="n">
        <v>1</v>
      </c>
      <c r="H22" s="11"/>
      <c r="I22" s="68" t="n">
        <v>1</v>
      </c>
      <c r="J22" s="17" t="n">
        <v>72</v>
      </c>
    </row>
    <row r="23" customFormat="false" ht="15" hidden="false" customHeight="false" outlineLevel="0" collapsed="false">
      <c r="A23" s="11" t="n">
        <v>19</v>
      </c>
      <c r="B23" s="66" t="s">
        <v>120</v>
      </c>
      <c r="C23" s="11"/>
      <c r="D23" s="11"/>
      <c r="E23" s="67" t="n">
        <v>3</v>
      </c>
      <c r="F23" s="11"/>
      <c r="G23" s="71" t="n">
        <v>1</v>
      </c>
      <c r="H23" s="11"/>
      <c r="I23" s="68" t="n">
        <v>1</v>
      </c>
      <c r="J23" s="17" t="n">
        <v>72</v>
      </c>
    </row>
    <row r="24" customFormat="false" ht="15" hidden="false" customHeight="false" outlineLevel="0" collapsed="false">
      <c r="A24" s="11" t="n">
        <v>20</v>
      </c>
      <c r="B24" s="66" t="s">
        <v>121</v>
      </c>
      <c r="C24" s="11"/>
      <c r="D24" s="73" t="n">
        <v>1</v>
      </c>
      <c r="E24" s="11"/>
      <c r="F24" s="69" t="n">
        <v>3</v>
      </c>
      <c r="G24" s="11"/>
      <c r="H24" s="11"/>
      <c r="I24" s="68" t="n">
        <v>1</v>
      </c>
      <c r="J24" s="17" t="n">
        <v>72</v>
      </c>
    </row>
    <row r="25" customFormat="false" ht="15" hidden="false" customHeight="false" outlineLevel="0" collapsed="false">
      <c r="A25" s="11" t="n">
        <v>21</v>
      </c>
      <c r="B25" s="66" t="s">
        <v>122</v>
      </c>
      <c r="C25" s="11"/>
      <c r="D25" s="11"/>
      <c r="E25" s="67" t="n">
        <v>2</v>
      </c>
      <c r="F25" s="69" t="n">
        <v>2</v>
      </c>
      <c r="G25" s="11"/>
      <c r="H25" s="11"/>
      <c r="I25" s="68" t="n">
        <v>1</v>
      </c>
      <c r="J25" s="17" t="n">
        <v>72</v>
      </c>
    </row>
    <row r="26" customFormat="false" ht="15" hidden="false" customHeight="false" outlineLevel="0" collapsed="false">
      <c r="A26" s="11" t="n">
        <v>22</v>
      </c>
      <c r="B26" s="66" t="s">
        <v>123</v>
      </c>
      <c r="C26" s="72" t="n">
        <v>1</v>
      </c>
      <c r="D26" s="73" t="n">
        <v>1</v>
      </c>
      <c r="E26" s="11"/>
      <c r="F26" s="11"/>
      <c r="G26" s="11"/>
      <c r="H26" s="70" t="n">
        <v>3</v>
      </c>
      <c r="I26" s="11"/>
      <c r="J26" s="17" t="n">
        <v>72</v>
      </c>
    </row>
    <row r="27" customFormat="false" ht="15" hidden="false" customHeight="false" outlineLevel="0" collapsed="false">
      <c r="A27" s="11" t="n">
        <v>23</v>
      </c>
      <c r="B27" s="66" t="s">
        <v>124</v>
      </c>
      <c r="C27" s="72" t="n">
        <v>1</v>
      </c>
      <c r="D27" s="11"/>
      <c r="E27" s="67" t="n">
        <v>1</v>
      </c>
      <c r="F27" s="11"/>
      <c r="G27" s="71" t="n">
        <v>1</v>
      </c>
      <c r="H27" s="70" t="n">
        <v>2</v>
      </c>
      <c r="I27" s="11"/>
      <c r="J27" s="17" t="n">
        <v>72</v>
      </c>
    </row>
    <row r="28" customFormat="false" ht="15" hidden="false" customHeight="false" outlineLevel="0" collapsed="false">
      <c r="A28" s="11" t="n">
        <v>24</v>
      </c>
      <c r="B28" s="66" t="s">
        <v>125</v>
      </c>
      <c r="C28" s="11"/>
      <c r="D28" s="73" t="n">
        <v>2</v>
      </c>
      <c r="E28" s="11"/>
      <c r="F28" s="11"/>
      <c r="G28" s="71" t="n">
        <v>1</v>
      </c>
      <c r="H28" s="70" t="n">
        <v>2</v>
      </c>
      <c r="I28" s="11"/>
      <c r="J28" s="17" t="n">
        <v>72</v>
      </c>
    </row>
    <row r="29" customFormat="false" ht="15" hidden="false" customHeight="false" outlineLevel="0" collapsed="false">
      <c r="A29" s="11" t="n">
        <v>25</v>
      </c>
      <c r="B29" s="66" t="s">
        <v>126</v>
      </c>
      <c r="C29" s="72" t="n">
        <v>1</v>
      </c>
      <c r="D29" s="11"/>
      <c r="E29" s="11"/>
      <c r="F29" s="69" t="n">
        <v>2</v>
      </c>
      <c r="G29" s="11"/>
      <c r="H29" s="70" t="n">
        <v>2</v>
      </c>
      <c r="I29" s="11"/>
      <c r="J29" s="17" t="n">
        <v>72</v>
      </c>
    </row>
    <row r="30" customFormat="false" ht="15" hidden="false" customHeight="false" outlineLevel="0" collapsed="false">
      <c r="A30" s="11" t="n">
        <v>26</v>
      </c>
      <c r="B30" s="66" t="s">
        <v>127</v>
      </c>
      <c r="C30" s="11"/>
      <c r="D30" s="73" t="n">
        <v>1</v>
      </c>
      <c r="E30" s="67" t="n">
        <v>1</v>
      </c>
      <c r="F30" s="69" t="n">
        <v>1</v>
      </c>
      <c r="G30" s="11"/>
      <c r="H30" s="70" t="n">
        <v>2</v>
      </c>
      <c r="I30" s="11"/>
      <c r="J30" s="17" t="n">
        <v>72</v>
      </c>
    </row>
    <row r="31" customFormat="false" ht="15" hidden="false" customHeight="false" outlineLevel="0" collapsed="false">
      <c r="A31" s="11" t="n">
        <v>27</v>
      </c>
      <c r="B31" s="66" t="s">
        <v>128</v>
      </c>
      <c r="C31" s="11"/>
      <c r="D31" s="11"/>
      <c r="E31" s="67" t="n">
        <v>3</v>
      </c>
      <c r="F31" s="11"/>
      <c r="G31" s="11"/>
      <c r="H31" s="70" t="n">
        <v>2</v>
      </c>
      <c r="I31" s="11"/>
      <c r="J31" s="17" t="n">
        <v>72</v>
      </c>
    </row>
    <row r="32" customFormat="false" ht="15" hidden="false" customHeight="false" outlineLevel="0" collapsed="false">
      <c r="A32" s="11" t="n">
        <v>28</v>
      </c>
      <c r="B32" s="66" t="s">
        <v>129</v>
      </c>
      <c r="C32" s="72" t="n">
        <v>1</v>
      </c>
      <c r="D32" s="11"/>
      <c r="E32" s="11"/>
      <c r="F32" s="69" t="n">
        <v>1</v>
      </c>
      <c r="G32" s="71" t="n">
        <v>2</v>
      </c>
      <c r="H32" s="70" t="n">
        <v>1</v>
      </c>
      <c r="I32" s="11"/>
      <c r="J32" s="17" t="n">
        <v>72</v>
      </c>
    </row>
    <row r="33" customFormat="false" ht="15" hidden="false" customHeight="false" outlineLevel="0" collapsed="false">
      <c r="A33" s="11" t="n">
        <v>29</v>
      </c>
      <c r="B33" s="66" t="s">
        <v>130</v>
      </c>
      <c r="C33" s="11"/>
      <c r="D33" s="73" t="n">
        <v>1</v>
      </c>
      <c r="E33" s="67" t="n">
        <v>1</v>
      </c>
      <c r="F33" s="11"/>
      <c r="G33" s="71" t="n">
        <v>2</v>
      </c>
      <c r="H33" s="70" t="n">
        <v>1</v>
      </c>
      <c r="I33" s="11"/>
      <c r="J33" s="17" t="n">
        <v>72</v>
      </c>
    </row>
    <row r="34" customFormat="false" ht="15" hidden="false" customHeight="false" outlineLevel="0" collapsed="false">
      <c r="A34" s="11" t="n">
        <v>30</v>
      </c>
      <c r="B34" s="66" t="s">
        <v>131</v>
      </c>
      <c r="C34" s="11"/>
      <c r="D34" s="73" t="n">
        <v>1</v>
      </c>
      <c r="E34" s="11"/>
      <c r="F34" s="69" t="n">
        <v>2</v>
      </c>
      <c r="G34" s="71" t="n">
        <v>1</v>
      </c>
      <c r="H34" s="70" t="n">
        <v>1</v>
      </c>
      <c r="I34" s="11"/>
      <c r="J34" s="17" t="n">
        <v>72</v>
      </c>
    </row>
    <row r="35" customFormat="false" ht="15" hidden="false" customHeight="false" outlineLevel="0" collapsed="false">
      <c r="A35" s="11" t="n">
        <v>31</v>
      </c>
      <c r="B35" s="66" t="s">
        <v>132</v>
      </c>
      <c r="C35" s="11"/>
      <c r="D35" s="11"/>
      <c r="E35" s="67" t="n">
        <v>2</v>
      </c>
      <c r="F35" s="69" t="n">
        <v>1</v>
      </c>
      <c r="G35" s="71" t="n">
        <v>1</v>
      </c>
      <c r="H35" s="70" t="n">
        <v>1</v>
      </c>
      <c r="I35" s="11"/>
      <c r="J35" s="17" t="n">
        <v>72</v>
      </c>
    </row>
    <row r="36" customFormat="false" ht="15" hidden="false" customHeight="false" outlineLevel="0" collapsed="false">
      <c r="A36" s="11" t="n">
        <v>32</v>
      </c>
      <c r="B36" s="66" t="s">
        <v>133</v>
      </c>
      <c r="C36" s="11"/>
      <c r="D36" s="11"/>
      <c r="E36" s="67" t="n">
        <v>1</v>
      </c>
      <c r="F36" s="69" t="n">
        <v>3</v>
      </c>
      <c r="G36" s="11"/>
      <c r="H36" s="70" t="n">
        <v>1</v>
      </c>
      <c r="I36" s="11"/>
      <c r="J36" s="17" t="n">
        <v>72</v>
      </c>
    </row>
    <row r="37" customFormat="false" ht="15" hidden="false" customHeight="false" outlineLevel="0" collapsed="false">
      <c r="A37" s="11" t="n">
        <v>33</v>
      </c>
      <c r="B37" s="66" t="s">
        <v>134</v>
      </c>
      <c r="C37" s="72" t="n">
        <v>1</v>
      </c>
      <c r="D37" s="11"/>
      <c r="E37" s="11"/>
      <c r="F37" s="11"/>
      <c r="G37" s="71" t="n">
        <v>4</v>
      </c>
      <c r="H37" s="11"/>
      <c r="I37" s="11"/>
      <c r="J37" s="17" t="n">
        <v>72</v>
      </c>
    </row>
    <row r="38" customFormat="false" ht="15" hidden="false" customHeight="false" outlineLevel="0" collapsed="false">
      <c r="A38" s="11" t="n">
        <v>34</v>
      </c>
      <c r="B38" s="66" t="s">
        <v>135</v>
      </c>
      <c r="C38" s="11"/>
      <c r="D38" s="73" t="n">
        <v>1</v>
      </c>
      <c r="E38" s="11"/>
      <c r="F38" s="69" t="n">
        <v>1</v>
      </c>
      <c r="G38" s="71" t="n">
        <v>3</v>
      </c>
      <c r="H38" s="11"/>
      <c r="I38" s="11"/>
      <c r="J38" s="17" t="n">
        <v>72</v>
      </c>
    </row>
    <row r="39" customFormat="false" ht="15" hidden="false" customHeight="false" outlineLevel="0" collapsed="false">
      <c r="A39" s="11" t="n">
        <v>35</v>
      </c>
      <c r="B39" s="66" t="s">
        <v>136</v>
      </c>
      <c r="C39" s="11"/>
      <c r="D39" s="11"/>
      <c r="E39" s="67" t="n">
        <v>2</v>
      </c>
      <c r="F39" s="11"/>
      <c r="G39" s="71" t="n">
        <v>3</v>
      </c>
      <c r="H39" s="11"/>
      <c r="I39" s="11"/>
      <c r="J39" s="17" t="n">
        <v>72</v>
      </c>
    </row>
    <row r="40" customFormat="false" ht="15" hidden="false" customHeight="false" outlineLevel="0" collapsed="false">
      <c r="A40" s="11" t="n">
        <v>36</v>
      </c>
      <c r="B40" s="66" t="s">
        <v>137</v>
      </c>
      <c r="C40" s="11"/>
      <c r="D40" s="11"/>
      <c r="E40" s="67" t="n">
        <v>1</v>
      </c>
      <c r="F40" s="69" t="n">
        <v>2</v>
      </c>
      <c r="G40" s="71" t="n">
        <v>2</v>
      </c>
      <c r="H40" s="11"/>
      <c r="I40" s="11"/>
      <c r="J40" s="17" t="n">
        <v>72</v>
      </c>
    </row>
    <row r="41" customFormat="false" ht="15" hidden="false" customHeight="false" outlineLevel="0" collapsed="false">
      <c r="A41" s="11" t="n">
        <v>37</v>
      </c>
      <c r="B41" s="66" t="s">
        <v>138</v>
      </c>
      <c r="C41" s="11"/>
      <c r="D41" s="11"/>
      <c r="E41" s="11"/>
      <c r="F41" s="69" t="n">
        <v>4</v>
      </c>
      <c r="G41" s="71" t="n">
        <v>1</v>
      </c>
      <c r="H41" s="11"/>
      <c r="I41" s="11"/>
      <c r="J41" s="17" t="n">
        <v>72</v>
      </c>
    </row>
    <row r="42" customFormat="false" ht="15" hidden="false" customHeight="false" outlineLevel="0" collapsed="false">
      <c r="A42" s="11" t="n">
        <v>38</v>
      </c>
      <c r="B42" s="66" t="s">
        <v>139</v>
      </c>
      <c r="C42" s="72" t="n">
        <v>4</v>
      </c>
      <c r="D42" s="11"/>
      <c r="E42" s="11"/>
      <c r="F42" s="11"/>
      <c r="G42" s="11"/>
      <c r="H42" s="11"/>
      <c r="I42" s="68" t="n">
        <v>2</v>
      </c>
      <c r="J42" s="17" t="n">
        <v>72</v>
      </c>
    </row>
    <row r="43" customFormat="false" ht="15" hidden="false" customHeight="false" outlineLevel="0" collapsed="false">
      <c r="A43" s="11" t="n">
        <v>39</v>
      </c>
      <c r="B43" s="66" t="s">
        <v>140</v>
      </c>
      <c r="C43" s="72" t="n">
        <v>3</v>
      </c>
      <c r="D43" s="73" t="n">
        <v>1</v>
      </c>
      <c r="E43" s="11"/>
      <c r="F43" s="11"/>
      <c r="G43" s="11"/>
      <c r="H43" s="70" t="n">
        <v>1</v>
      </c>
      <c r="I43" s="68" t="n">
        <v>1</v>
      </c>
      <c r="J43" s="17" t="n">
        <v>72</v>
      </c>
    </row>
    <row r="44" customFormat="false" ht="15" hidden="false" customHeight="false" outlineLevel="0" collapsed="false">
      <c r="A44" s="11" t="n">
        <v>40</v>
      </c>
      <c r="B44" s="66" t="s">
        <v>141</v>
      </c>
      <c r="C44" s="72" t="n">
        <v>3</v>
      </c>
      <c r="D44" s="11"/>
      <c r="E44" s="67" t="n">
        <v>1</v>
      </c>
      <c r="F44" s="11"/>
      <c r="G44" s="71" t="n">
        <v>1</v>
      </c>
      <c r="H44" s="11"/>
      <c r="I44" s="68" t="n">
        <v>1</v>
      </c>
      <c r="J44" s="17" t="n">
        <v>72</v>
      </c>
    </row>
    <row r="45" customFormat="false" ht="15" hidden="false" customHeight="false" outlineLevel="0" collapsed="false">
      <c r="A45" s="11" t="n">
        <v>41</v>
      </c>
      <c r="B45" s="66" t="s">
        <v>142</v>
      </c>
      <c r="C45" s="72" t="n">
        <v>2</v>
      </c>
      <c r="D45" s="73" t="n">
        <v>2</v>
      </c>
      <c r="E45" s="11"/>
      <c r="F45" s="11"/>
      <c r="G45" s="71" t="n">
        <v>1</v>
      </c>
      <c r="H45" s="11"/>
      <c r="I45" s="68" t="n">
        <v>1</v>
      </c>
      <c r="J45" s="17" t="n">
        <v>72</v>
      </c>
    </row>
    <row r="46" customFormat="false" ht="15" hidden="false" customHeight="false" outlineLevel="0" collapsed="false">
      <c r="A46" s="11" t="n">
        <v>42</v>
      </c>
      <c r="B46" s="66" t="s">
        <v>143</v>
      </c>
      <c r="C46" s="72" t="n">
        <v>3</v>
      </c>
      <c r="D46" s="11"/>
      <c r="E46" s="11"/>
      <c r="F46" s="69" t="n">
        <v>2</v>
      </c>
      <c r="G46" s="11"/>
      <c r="H46" s="11"/>
      <c r="I46" s="68" t="n">
        <v>1</v>
      </c>
      <c r="J46" s="17" t="n">
        <v>72</v>
      </c>
    </row>
    <row r="47" customFormat="false" ht="15" hidden="false" customHeight="false" outlineLevel="0" collapsed="false">
      <c r="A47" s="11" t="n">
        <v>43</v>
      </c>
      <c r="B47" s="66" t="s">
        <v>144</v>
      </c>
      <c r="C47" s="72" t="n">
        <v>2</v>
      </c>
      <c r="D47" s="73" t="n">
        <v>1</v>
      </c>
      <c r="E47" s="67" t="n">
        <v>1</v>
      </c>
      <c r="F47" s="69" t="n">
        <v>1</v>
      </c>
      <c r="G47" s="11"/>
      <c r="H47" s="11"/>
      <c r="I47" s="68" t="n">
        <v>1</v>
      </c>
      <c r="J47" s="17" t="n">
        <v>72</v>
      </c>
    </row>
    <row r="48" customFormat="false" ht="15" hidden="false" customHeight="false" outlineLevel="0" collapsed="false">
      <c r="A48" s="11" t="n">
        <v>44</v>
      </c>
      <c r="B48" s="66" t="s">
        <v>145</v>
      </c>
      <c r="C48" s="72" t="n">
        <v>1</v>
      </c>
      <c r="D48" s="73" t="n">
        <v>3</v>
      </c>
      <c r="E48" s="11"/>
      <c r="F48" s="69" t="n">
        <v>1</v>
      </c>
      <c r="G48" s="11"/>
      <c r="H48" s="11"/>
      <c r="I48" s="68" t="n">
        <v>1</v>
      </c>
      <c r="J48" s="17" t="n">
        <v>72</v>
      </c>
    </row>
    <row r="49" customFormat="false" ht="15" hidden="false" customHeight="false" outlineLevel="0" collapsed="false">
      <c r="A49" s="11" t="n">
        <v>45</v>
      </c>
      <c r="B49" s="66" t="s">
        <v>146</v>
      </c>
      <c r="C49" s="72" t="n">
        <v>2</v>
      </c>
      <c r="D49" s="11"/>
      <c r="E49" s="67" t="n">
        <v>3</v>
      </c>
      <c r="F49" s="11"/>
      <c r="G49" s="11"/>
      <c r="H49" s="11"/>
      <c r="I49" s="68" t="n">
        <v>1</v>
      </c>
      <c r="J49" s="17" t="n">
        <v>72</v>
      </c>
    </row>
    <row r="50" customFormat="false" ht="15" hidden="false" customHeight="false" outlineLevel="0" collapsed="false">
      <c r="A50" s="11" t="n">
        <v>46</v>
      </c>
      <c r="B50" s="66" t="s">
        <v>147</v>
      </c>
      <c r="C50" s="72" t="n">
        <v>1</v>
      </c>
      <c r="D50" s="73" t="n">
        <v>2</v>
      </c>
      <c r="E50" s="67" t="n">
        <v>2</v>
      </c>
      <c r="F50" s="11"/>
      <c r="G50" s="11"/>
      <c r="H50" s="11"/>
      <c r="I50" s="68" t="n">
        <v>1</v>
      </c>
      <c r="J50" s="17" t="n">
        <v>72</v>
      </c>
    </row>
    <row r="51" customFormat="false" ht="15" hidden="false" customHeight="false" outlineLevel="0" collapsed="false">
      <c r="A51" s="11" t="n">
        <v>47</v>
      </c>
      <c r="B51" s="66" t="s">
        <v>148</v>
      </c>
      <c r="C51" s="11"/>
      <c r="D51" s="73" t="n">
        <v>4</v>
      </c>
      <c r="E51" s="67" t="n">
        <v>1</v>
      </c>
      <c r="F51" s="11"/>
      <c r="G51" s="11"/>
      <c r="H51" s="11"/>
      <c r="I51" s="68" t="n">
        <v>1</v>
      </c>
      <c r="J51" s="17" t="n">
        <v>72</v>
      </c>
    </row>
    <row r="52" customFormat="false" ht="15" hidden="false" customHeight="false" outlineLevel="0" collapsed="false">
      <c r="A52" s="11" t="n">
        <v>48</v>
      </c>
      <c r="B52" s="66" t="s">
        <v>149</v>
      </c>
      <c r="C52" s="72" t="n">
        <v>3</v>
      </c>
      <c r="D52" s="11"/>
      <c r="E52" s="67" t="n">
        <v>1</v>
      </c>
      <c r="F52" s="11"/>
      <c r="G52" s="11"/>
      <c r="H52" s="70" t="n">
        <v>2</v>
      </c>
      <c r="I52" s="11"/>
      <c r="J52" s="17" t="n">
        <v>72</v>
      </c>
    </row>
    <row r="53" customFormat="false" ht="15" hidden="false" customHeight="false" outlineLevel="0" collapsed="false">
      <c r="A53" s="11" t="n">
        <v>49</v>
      </c>
      <c r="B53" s="66" t="s">
        <v>150</v>
      </c>
      <c r="C53" s="72" t="n">
        <v>2</v>
      </c>
      <c r="D53" s="73" t="n">
        <v>2</v>
      </c>
      <c r="E53" s="11"/>
      <c r="F53" s="11"/>
      <c r="G53" s="11"/>
      <c r="H53" s="70" t="n">
        <v>2</v>
      </c>
      <c r="I53" s="11"/>
      <c r="J53" s="17" t="n">
        <v>72</v>
      </c>
    </row>
    <row r="54" customFormat="false" ht="15" hidden="false" customHeight="false" outlineLevel="0" collapsed="false">
      <c r="A54" s="11" t="n">
        <v>50</v>
      </c>
      <c r="B54" s="66" t="s">
        <v>151</v>
      </c>
      <c r="C54" s="72" t="n">
        <v>3</v>
      </c>
      <c r="D54" s="11"/>
      <c r="E54" s="11"/>
      <c r="F54" s="69" t="n">
        <v>1</v>
      </c>
      <c r="G54" s="71" t="n">
        <v>1</v>
      </c>
      <c r="H54" s="70" t="n">
        <v>1</v>
      </c>
      <c r="I54" s="11"/>
      <c r="J54" s="17" t="n">
        <v>72</v>
      </c>
    </row>
    <row r="55" customFormat="false" ht="15" hidden="false" customHeight="false" outlineLevel="0" collapsed="false">
      <c r="A55" s="11" t="n">
        <v>51</v>
      </c>
      <c r="B55" s="66" t="s">
        <v>152</v>
      </c>
      <c r="C55" s="72" t="n">
        <v>2</v>
      </c>
      <c r="D55" s="73" t="n">
        <v>1</v>
      </c>
      <c r="E55" s="67" t="n">
        <v>1</v>
      </c>
      <c r="F55" s="11"/>
      <c r="G55" s="71" t="n">
        <v>1</v>
      </c>
      <c r="H55" s="70" t="n">
        <v>1</v>
      </c>
      <c r="I55" s="11"/>
      <c r="J55" s="17" t="n">
        <v>72</v>
      </c>
    </row>
    <row r="56" customFormat="false" ht="15" hidden="false" customHeight="false" outlineLevel="0" collapsed="false">
      <c r="A56" s="11" t="n">
        <v>52</v>
      </c>
      <c r="B56" s="66" t="s">
        <v>153</v>
      </c>
      <c r="C56" s="72" t="n">
        <v>1</v>
      </c>
      <c r="D56" s="73" t="n">
        <v>3</v>
      </c>
      <c r="E56" s="11"/>
      <c r="F56" s="11"/>
      <c r="G56" s="71" t="n">
        <v>1</v>
      </c>
      <c r="H56" s="70" t="n">
        <v>1</v>
      </c>
      <c r="I56" s="11"/>
      <c r="J56" s="17" t="n">
        <v>72</v>
      </c>
    </row>
    <row r="57" customFormat="false" ht="15" hidden="false" customHeight="false" outlineLevel="0" collapsed="false">
      <c r="A57" s="11" t="n">
        <v>53</v>
      </c>
      <c r="B57" s="66" t="s">
        <v>154</v>
      </c>
      <c r="C57" s="72" t="n">
        <v>2</v>
      </c>
      <c r="D57" s="73" t="n">
        <v>1</v>
      </c>
      <c r="E57" s="11"/>
      <c r="F57" s="69" t="n">
        <v>2</v>
      </c>
      <c r="G57" s="11"/>
      <c r="H57" s="70" t="n">
        <v>1</v>
      </c>
      <c r="I57" s="11"/>
      <c r="J57" s="17" t="n">
        <v>72</v>
      </c>
    </row>
    <row r="58" customFormat="false" ht="15" hidden="false" customHeight="false" outlineLevel="0" collapsed="false">
      <c r="A58" s="11" t="n">
        <v>54</v>
      </c>
      <c r="B58" s="66" t="s">
        <v>155</v>
      </c>
      <c r="C58" s="72" t="n">
        <v>2</v>
      </c>
      <c r="D58" s="11"/>
      <c r="E58" s="67" t="n">
        <v>2</v>
      </c>
      <c r="F58" s="69" t="n">
        <v>1</v>
      </c>
      <c r="G58" s="11"/>
      <c r="H58" s="70" t="n">
        <v>1</v>
      </c>
      <c r="I58" s="11"/>
      <c r="J58" s="17" t="n">
        <v>72</v>
      </c>
    </row>
    <row r="59" customFormat="false" ht="15" hidden="false" customHeight="false" outlineLevel="0" collapsed="false">
      <c r="A59" s="11" t="n">
        <v>55</v>
      </c>
      <c r="B59" s="66" t="s">
        <v>156</v>
      </c>
      <c r="C59" s="72" t="n">
        <v>1</v>
      </c>
      <c r="D59" s="73" t="n">
        <v>2</v>
      </c>
      <c r="E59" s="67" t="n">
        <v>1</v>
      </c>
      <c r="F59" s="69" t="n">
        <v>1</v>
      </c>
      <c r="G59" s="11"/>
      <c r="H59" s="70" t="n">
        <v>1</v>
      </c>
      <c r="I59" s="11"/>
      <c r="J59" s="17" t="n">
        <v>72</v>
      </c>
    </row>
    <row r="60" customFormat="false" ht="15" hidden="false" customHeight="false" outlineLevel="0" collapsed="false">
      <c r="A60" s="11" t="n">
        <v>56</v>
      </c>
      <c r="B60" s="66" t="s">
        <v>157</v>
      </c>
      <c r="C60" s="11"/>
      <c r="D60" s="73" t="n">
        <v>4</v>
      </c>
      <c r="E60" s="11"/>
      <c r="F60" s="69" t="n">
        <v>1</v>
      </c>
      <c r="G60" s="11"/>
      <c r="H60" s="70" t="n">
        <v>1</v>
      </c>
      <c r="I60" s="11"/>
      <c r="J60" s="17" t="n">
        <v>72</v>
      </c>
    </row>
    <row r="61" customFormat="false" ht="15" hidden="false" customHeight="false" outlineLevel="0" collapsed="false">
      <c r="A61" s="11" t="n">
        <v>57</v>
      </c>
      <c r="B61" s="66" t="s">
        <v>158</v>
      </c>
      <c r="C61" s="72" t="n">
        <v>1</v>
      </c>
      <c r="D61" s="73" t="n">
        <v>1</v>
      </c>
      <c r="E61" s="67" t="n">
        <v>3</v>
      </c>
      <c r="F61" s="11"/>
      <c r="G61" s="11"/>
      <c r="H61" s="70" t="n">
        <v>1</v>
      </c>
      <c r="I61" s="11"/>
      <c r="J61" s="17" t="n">
        <v>72</v>
      </c>
    </row>
    <row r="62" customFormat="false" ht="15" hidden="false" customHeight="false" outlineLevel="0" collapsed="false">
      <c r="A62" s="11" t="n">
        <v>58</v>
      </c>
      <c r="B62" s="66" t="s">
        <v>159</v>
      </c>
      <c r="C62" s="11"/>
      <c r="D62" s="73" t="n">
        <v>3</v>
      </c>
      <c r="E62" s="67" t="n">
        <v>2</v>
      </c>
      <c r="F62" s="11"/>
      <c r="G62" s="11"/>
      <c r="H62" s="70" t="n">
        <v>1</v>
      </c>
      <c r="I62" s="11"/>
      <c r="J62" s="17" t="n">
        <v>72</v>
      </c>
    </row>
    <row r="63" customFormat="false" ht="15" hidden="false" customHeight="false" outlineLevel="0" collapsed="false">
      <c r="A63" s="11" t="n">
        <v>59</v>
      </c>
      <c r="B63" s="66" t="s">
        <v>160</v>
      </c>
      <c r="C63" s="72" t="n">
        <v>3</v>
      </c>
      <c r="D63" s="11"/>
      <c r="E63" s="11"/>
      <c r="F63" s="11"/>
      <c r="G63" s="71" t="n">
        <v>3</v>
      </c>
      <c r="H63" s="11"/>
      <c r="I63" s="11"/>
      <c r="J63" s="17" t="n">
        <v>72</v>
      </c>
    </row>
    <row r="64" customFormat="false" ht="15" hidden="false" customHeight="false" outlineLevel="0" collapsed="false">
      <c r="A64" s="11" t="n">
        <v>60</v>
      </c>
      <c r="B64" s="66" t="s">
        <v>161</v>
      </c>
      <c r="C64" s="72" t="n">
        <v>2</v>
      </c>
      <c r="D64" s="73" t="n">
        <v>1</v>
      </c>
      <c r="E64" s="11"/>
      <c r="F64" s="69" t="n">
        <v>1</v>
      </c>
      <c r="G64" s="71" t="n">
        <v>2</v>
      </c>
      <c r="H64" s="11"/>
      <c r="I64" s="11"/>
      <c r="J64" s="17" t="n">
        <v>72</v>
      </c>
    </row>
    <row r="65" customFormat="false" ht="15" hidden="false" customHeight="false" outlineLevel="0" collapsed="false">
      <c r="A65" s="11" t="n">
        <v>61</v>
      </c>
      <c r="B65" s="66" t="s">
        <v>162</v>
      </c>
      <c r="C65" s="72" t="n">
        <v>2</v>
      </c>
      <c r="D65" s="11"/>
      <c r="E65" s="67" t="n">
        <v>2</v>
      </c>
      <c r="F65" s="11"/>
      <c r="G65" s="71" t="n">
        <v>2</v>
      </c>
      <c r="H65" s="11"/>
      <c r="I65" s="11"/>
      <c r="J65" s="17" t="n">
        <v>72</v>
      </c>
    </row>
    <row r="66" customFormat="false" ht="15" hidden="false" customHeight="false" outlineLevel="0" collapsed="false">
      <c r="A66" s="11" t="n">
        <v>62</v>
      </c>
      <c r="B66" s="66" t="s">
        <v>163</v>
      </c>
      <c r="C66" s="72" t="n">
        <v>1</v>
      </c>
      <c r="D66" s="73" t="n">
        <v>2</v>
      </c>
      <c r="E66" s="67" t="n">
        <v>1</v>
      </c>
      <c r="F66" s="11"/>
      <c r="G66" s="71" t="n">
        <v>2</v>
      </c>
      <c r="H66" s="11"/>
      <c r="I66" s="11"/>
      <c r="J66" s="17" t="n">
        <v>72</v>
      </c>
    </row>
    <row r="67" customFormat="false" ht="15" hidden="false" customHeight="false" outlineLevel="0" collapsed="false">
      <c r="A67" s="11" t="n">
        <v>63</v>
      </c>
      <c r="B67" s="66" t="s">
        <v>164</v>
      </c>
      <c r="C67" s="11"/>
      <c r="D67" s="73" t="n">
        <v>4</v>
      </c>
      <c r="E67" s="11"/>
      <c r="F67" s="11"/>
      <c r="G67" s="71" t="n">
        <v>2</v>
      </c>
      <c r="H67" s="11"/>
      <c r="I67" s="11"/>
      <c r="J67" s="17" t="n">
        <v>72</v>
      </c>
    </row>
    <row r="68" customFormat="false" ht="15" hidden="false" customHeight="false" outlineLevel="0" collapsed="false">
      <c r="A68" s="11" t="n">
        <v>64</v>
      </c>
      <c r="B68" s="66" t="s">
        <v>165</v>
      </c>
      <c r="C68" s="72" t="n">
        <v>2</v>
      </c>
      <c r="D68" s="11"/>
      <c r="E68" s="67" t="n">
        <v>1</v>
      </c>
      <c r="F68" s="69" t="n">
        <v>2</v>
      </c>
      <c r="G68" s="71" t="n">
        <v>1</v>
      </c>
      <c r="H68" s="11"/>
      <c r="I68" s="11"/>
      <c r="J68" s="17" t="n">
        <v>72</v>
      </c>
    </row>
    <row r="69" customFormat="false" ht="15" hidden="false" customHeight="false" outlineLevel="0" collapsed="false">
      <c r="A69" s="11" t="n">
        <v>65</v>
      </c>
      <c r="B69" s="66" t="s">
        <v>166</v>
      </c>
      <c r="C69" s="72" t="n">
        <v>1</v>
      </c>
      <c r="D69" s="73" t="n">
        <v>2</v>
      </c>
      <c r="E69" s="11"/>
      <c r="F69" s="69" t="n">
        <v>2</v>
      </c>
      <c r="G69" s="71" t="n">
        <v>1</v>
      </c>
      <c r="H69" s="11"/>
      <c r="I69" s="11"/>
      <c r="J69" s="17" t="n">
        <v>72</v>
      </c>
    </row>
    <row r="70" customFormat="false" ht="15" hidden="false" customHeight="false" outlineLevel="0" collapsed="false">
      <c r="A70" s="11" t="n">
        <v>66</v>
      </c>
      <c r="B70" s="66" t="s">
        <v>167</v>
      </c>
      <c r="C70" s="72" t="n">
        <v>1</v>
      </c>
      <c r="D70" s="73" t="n">
        <v>1</v>
      </c>
      <c r="E70" s="67" t="n">
        <v>2</v>
      </c>
      <c r="F70" s="69" t="n">
        <v>1</v>
      </c>
      <c r="G70" s="71" t="n">
        <v>1</v>
      </c>
      <c r="H70" s="11"/>
      <c r="I70" s="11"/>
      <c r="J70" s="17" t="n">
        <v>72</v>
      </c>
    </row>
    <row r="71" customFormat="false" ht="15" hidden="false" customHeight="false" outlineLevel="0" collapsed="false">
      <c r="A71" s="11" t="n">
        <v>67</v>
      </c>
      <c r="B71" s="66" t="s">
        <v>168</v>
      </c>
      <c r="C71" s="11"/>
      <c r="D71" s="73" t="n">
        <v>3</v>
      </c>
      <c r="E71" s="67" t="n">
        <v>1</v>
      </c>
      <c r="F71" s="69" t="n">
        <v>1</v>
      </c>
      <c r="G71" s="71" t="n">
        <v>1</v>
      </c>
      <c r="H71" s="11"/>
      <c r="I71" s="11"/>
      <c r="J71" s="17" t="n">
        <v>72</v>
      </c>
    </row>
    <row r="72" customFormat="false" ht="15" hidden="false" customHeight="false" outlineLevel="0" collapsed="false">
      <c r="A72" s="11" t="n">
        <v>68</v>
      </c>
      <c r="B72" s="66" t="s">
        <v>169</v>
      </c>
      <c r="C72" s="72" t="n">
        <v>1</v>
      </c>
      <c r="D72" s="11"/>
      <c r="E72" s="67" t="n">
        <v>4</v>
      </c>
      <c r="F72" s="11"/>
      <c r="G72" s="71" t="n">
        <v>1</v>
      </c>
      <c r="H72" s="11"/>
      <c r="I72" s="11"/>
      <c r="J72" s="17" t="n">
        <v>72</v>
      </c>
    </row>
    <row r="73" customFormat="false" ht="15" hidden="false" customHeight="false" outlineLevel="0" collapsed="false">
      <c r="A73" s="11" t="n">
        <v>69</v>
      </c>
      <c r="B73" s="66" t="s">
        <v>170</v>
      </c>
      <c r="C73" s="11"/>
      <c r="D73" s="73" t="n">
        <v>2</v>
      </c>
      <c r="E73" s="67" t="n">
        <v>3</v>
      </c>
      <c r="F73" s="11"/>
      <c r="G73" s="71" t="n">
        <v>1</v>
      </c>
      <c r="H73" s="11"/>
      <c r="I73" s="11"/>
      <c r="J73" s="17" t="n">
        <v>72</v>
      </c>
    </row>
    <row r="74" customFormat="false" ht="15" hidden="false" customHeight="false" outlineLevel="0" collapsed="false">
      <c r="A74" s="11" t="n">
        <v>70</v>
      </c>
      <c r="B74" s="66" t="s">
        <v>171</v>
      </c>
      <c r="C74" s="72" t="n">
        <v>2</v>
      </c>
      <c r="D74" s="11"/>
      <c r="E74" s="11"/>
      <c r="F74" s="69" t="n">
        <v>4</v>
      </c>
      <c r="G74" s="11"/>
      <c r="H74" s="11"/>
      <c r="I74" s="11"/>
      <c r="J74" s="17" t="n">
        <v>72</v>
      </c>
    </row>
    <row r="75" customFormat="false" ht="15" hidden="false" customHeight="false" outlineLevel="0" collapsed="false">
      <c r="A75" s="11" t="n">
        <v>71</v>
      </c>
      <c r="B75" s="66" t="s">
        <v>172</v>
      </c>
      <c r="C75" s="72" t="n">
        <v>1</v>
      </c>
      <c r="D75" s="73" t="n">
        <v>1</v>
      </c>
      <c r="E75" s="67" t="n">
        <v>1</v>
      </c>
      <c r="F75" s="69" t="n">
        <v>3</v>
      </c>
      <c r="G75" s="11"/>
      <c r="H75" s="11"/>
      <c r="I75" s="11"/>
      <c r="J75" s="17" t="n">
        <v>72</v>
      </c>
    </row>
    <row r="76" customFormat="false" ht="15" hidden="false" customHeight="false" outlineLevel="0" collapsed="false">
      <c r="A76" s="11" t="n">
        <v>72</v>
      </c>
      <c r="B76" s="66" t="s">
        <v>173</v>
      </c>
      <c r="C76" s="11"/>
      <c r="D76" s="73" t="n">
        <v>3</v>
      </c>
      <c r="E76" s="11"/>
      <c r="F76" s="69" t="n">
        <v>3</v>
      </c>
      <c r="G76" s="11"/>
      <c r="H76" s="11"/>
      <c r="I76" s="11"/>
      <c r="J76" s="17" t="n">
        <v>72</v>
      </c>
    </row>
    <row r="77" customFormat="false" ht="15" hidden="false" customHeight="false" outlineLevel="0" collapsed="false">
      <c r="A77" s="11" t="n">
        <v>73</v>
      </c>
      <c r="B77" s="66" t="s">
        <v>174</v>
      </c>
      <c r="C77" s="72" t="n">
        <v>1</v>
      </c>
      <c r="D77" s="11"/>
      <c r="E77" s="67" t="n">
        <v>3</v>
      </c>
      <c r="F77" s="69" t="n">
        <v>2</v>
      </c>
      <c r="G77" s="11"/>
      <c r="H77" s="11"/>
      <c r="I77" s="11"/>
      <c r="J77" s="17" t="n">
        <v>72</v>
      </c>
    </row>
    <row r="78" customFormat="false" ht="15" hidden="false" customHeight="false" outlineLevel="0" collapsed="false">
      <c r="A78" s="11" t="n">
        <v>74</v>
      </c>
      <c r="B78" s="66" t="s">
        <v>175</v>
      </c>
      <c r="C78" s="11"/>
      <c r="D78" s="73" t="n">
        <v>2</v>
      </c>
      <c r="E78" s="67" t="n">
        <v>2</v>
      </c>
      <c r="F78" s="69" t="n">
        <v>2</v>
      </c>
      <c r="G78" s="11"/>
      <c r="H78" s="11"/>
      <c r="I78" s="11"/>
      <c r="J78" s="17" t="n">
        <v>72</v>
      </c>
    </row>
    <row r="79" customFormat="false" ht="15" hidden="false" customHeight="false" outlineLevel="0" collapsed="false">
      <c r="A79" s="11" t="n">
        <v>75</v>
      </c>
      <c r="B79" s="66" t="s">
        <v>176</v>
      </c>
      <c r="C79" s="11"/>
      <c r="D79" s="73" t="n">
        <v>1</v>
      </c>
      <c r="E79" s="67" t="n">
        <v>4</v>
      </c>
      <c r="F79" s="69" t="n">
        <v>1</v>
      </c>
      <c r="G79" s="11"/>
      <c r="H79" s="11"/>
      <c r="I79" s="11"/>
      <c r="J79" s="17" t="n">
        <v>72</v>
      </c>
    </row>
    <row r="80" customFormat="false" ht="15" hidden="false" customHeight="false" outlineLevel="0" collapsed="false">
      <c r="A80" s="11" t="n">
        <v>76</v>
      </c>
      <c r="B80" s="66" t="s">
        <v>177</v>
      </c>
      <c r="C80" s="11"/>
      <c r="D80" s="11"/>
      <c r="E80" s="67" t="n">
        <v>6</v>
      </c>
      <c r="F80" s="11"/>
      <c r="G80" s="11"/>
      <c r="H80" s="11"/>
      <c r="I80" s="11"/>
      <c r="J80" s="17" t="n">
        <v>72</v>
      </c>
    </row>
    <row r="81" customFormat="false" ht="15" hidden="false" customHeight="false" outlineLevel="0" collapsed="false">
      <c r="A81" s="11" t="n">
        <v>77</v>
      </c>
      <c r="B81" s="66" t="s">
        <v>178</v>
      </c>
      <c r="C81" s="72" t="n">
        <v>5</v>
      </c>
      <c r="D81" s="11"/>
      <c r="E81" s="67" t="n">
        <v>1</v>
      </c>
      <c r="F81" s="11"/>
      <c r="G81" s="11"/>
      <c r="H81" s="11"/>
      <c r="I81" s="68" t="n">
        <v>1</v>
      </c>
      <c r="J81" s="17" t="n">
        <v>72</v>
      </c>
    </row>
    <row r="82" customFormat="false" ht="15" hidden="false" customHeight="false" outlineLevel="0" collapsed="false">
      <c r="A82" s="11" t="n">
        <v>78</v>
      </c>
      <c r="B82" s="66" t="s">
        <v>179</v>
      </c>
      <c r="C82" s="72" t="n">
        <v>4</v>
      </c>
      <c r="D82" s="73" t="n">
        <v>2</v>
      </c>
      <c r="E82" s="11"/>
      <c r="F82" s="11"/>
      <c r="G82" s="11"/>
      <c r="H82" s="11"/>
      <c r="I82" s="68" t="n">
        <v>1</v>
      </c>
      <c r="J82" s="17" t="n">
        <v>72</v>
      </c>
    </row>
    <row r="83" customFormat="false" ht="15" hidden="false" customHeight="false" outlineLevel="0" collapsed="false">
      <c r="A83" s="11" t="n">
        <v>79</v>
      </c>
      <c r="B83" s="66" t="s">
        <v>180</v>
      </c>
      <c r="C83" s="72" t="n">
        <v>5</v>
      </c>
      <c r="D83" s="11"/>
      <c r="E83" s="11"/>
      <c r="F83" s="69" t="n">
        <v>1</v>
      </c>
      <c r="G83" s="11"/>
      <c r="H83" s="70" t="n">
        <v>1</v>
      </c>
      <c r="I83" s="11"/>
      <c r="J83" s="17" t="n">
        <v>72</v>
      </c>
    </row>
    <row r="84" customFormat="false" ht="15" hidden="false" customHeight="false" outlineLevel="0" collapsed="false">
      <c r="A84" s="11" t="n">
        <v>80</v>
      </c>
      <c r="B84" s="66" t="s">
        <v>181</v>
      </c>
      <c r="C84" s="72" t="n">
        <v>4</v>
      </c>
      <c r="D84" s="73" t="n">
        <v>1</v>
      </c>
      <c r="E84" s="67" t="n">
        <v>1</v>
      </c>
      <c r="F84" s="11"/>
      <c r="G84" s="11"/>
      <c r="H84" s="70" t="n">
        <v>1</v>
      </c>
      <c r="I84" s="11"/>
      <c r="J84" s="17" t="n">
        <v>72</v>
      </c>
    </row>
    <row r="85" customFormat="false" ht="15" hidden="false" customHeight="false" outlineLevel="0" collapsed="false">
      <c r="A85" s="11" t="n">
        <v>81</v>
      </c>
      <c r="B85" s="66" t="s">
        <v>182</v>
      </c>
      <c r="C85" s="72" t="n">
        <v>3</v>
      </c>
      <c r="D85" s="73" t="n">
        <v>3</v>
      </c>
      <c r="E85" s="11"/>
      <c r="F85" s="11"/>
      <c r="G85" s="11"/>
      <c r="H85" s="70" t="n">
        <v>1</v>
      </c>
      <c r="I85" s="11"/>
      <c r="J85" s="17" t="n">
        <v>72</v>
      </c>
    </row>
    <row r="86" customFormat="false" ht="15" hidden="false" customHeight="false" outlineLevel="0" collapsed="false">
      <c r="A86" s="11" t="n">
        <v>82</v>
      </c>
      <c r="B86" s="66" t="s">
        <v>183</v>
      </c>
      <c r="C86" s="72" t="n">
        <v>5</v>
      </c>
      <c r="D86" s="11"/>
      <c r="E86" s="11"/>
      <c r="F86" s="11"/>
      <c r="G86" s="71" t="n">
        <v>2</v>
      </c>
      <c r="H86" s="11"/>
      <c r="I86" s="11"/>
      <c r="J86" s="17" t="n">
        <v>72</v>
      </c>
    </row>
    <row r="87" customFormat="false" ht="15" hidden="false" customHeight="false" outlineLevel="0" collapsed="false">
      <c r="A87" s="11" t="n">
        <v>83</v>
      </c>
      <c r="B87" s="66" t="s">
        <v>184</v>
      </c>
      <c r="C87" s="72" t="n">
        <v>4</v>
      </c>
      <c r="D87" s="73" t="n">
        <v>1</v>
      </c>
      <c r="E87" s="11"/>
      <c r="F87" s="69" t="n">
        <v>1</v>
      </c>
      <c r="G87" s="71" t="n">
        <v>1</v>
      </c>
      <c r="H87" s="11"/>
      <c r="I87" s="11"/>
      <c r="J87" s="17" t="n">
        <v>72</v>
      </c>
    </row>
    <row r="88" customFormat="false" ht="15" hidden="false" customHeight="false" outlineLevel="0" collapsed="false">
      <c r="A88" s="11" t="n">
        <v>84</v>
      </c>
      <c r="B88" s="66" t="s">
        <v>185</v>
      </c>
      <c r="C88" s="72" t="n">
        <v>4</v>
      </c>
      <c r="D88" s="11"/>
      <c r="E88" s="67" t="n">
        <v>2</v>
      </c>
      <c r="F88" s="11"/>
      <c r="G88" s="71" t="n">
        <v>1</v>
      </c>
      <c r="H88" s="11"/>
      <c r="I88" s="11"/>
      <c r="J88" s="17" t="n">
        <v>72</v>
      </c>
    </row>
    <row r="89" customFormat="false" ht="15" hidden="false" customHeight="false" outlineLevel="0" collapsed="false">
      <c r="A89" s="11" t="n">
        <v>85</v>
      </c>
      <c r="B89" s="66" t="s">
        <v>186</v>
      </c>
      <c r="C89" s="72" t="n">
        <v>3</v>
      </c>
      <c r="D89" s="73" t="n">
        <v>2</v>
      </c>
      <c r="E89" s="67" t="n">
        <v>1</v>
      </c>
      <c r="F89" s="11"/>
      <c r="G89" s="71" t="n">
        <v>1</v>
      </c>
      <c r="H89" s="11"/>
      <c r="I89" s="11"/>
      <c r="J89" s="17" t="n">
        <v>72</v>
      </c>
    </row>
    <row r="90" customFormat="false" ht="15" hidden="false" customHeight="false" outlineLevel="0" collapsed="false">
      <c r="A90" s="11" t="n">
        <v>86</v>
      </c>
      <c r="B90" s="66" t="s">
        <v>187</v>
      </c>
      <c r="C90" s="72" t="n">
        <v>2</v>
      </c>
      <c r="D90" s="73" t="n">
        <v>4</v>
      </c>
      <c r="E90" s="11"/>
      <c r="F90" s="11"/>
      <c r="G90" s="71" t="n">
        <v>1</v>
      </c>
      <c r="H90" s="11"/>
      <c r="I90" s="11"/>
      <c r="J90" s="17" t="n">
        <v>72</v>
      </c>
    </row>
    <row r="91" customFormat="false" ht="15" hidden="false" customHeight="false" outlineLevel="0" collapsed="false">
      <c r="A91" s="11" t="n">
        <v>87</v>
      </c>
      <c r="B91" s="66" t="s">
        <v>188</v>
      </c>
      <c r="C91" s="72" t="n">
        <v>4</v>
      </c>
      <c r="D91" s="11"/>
      <c r="E91" s="67" t="n">
        <v>1</v>
      </c>
      <c r="F91" s="69" t="n">
        <v>2</v>
      </c>
      <c r="G91" s="11"/>
      <c r="H91" s="11"/>
      <c r="I91" s="11"/>
      <c r="J91" s="17" t="n">
        <v>72</v>
      </c>
    </row>
    <row r="92" customFormat="false" ht="15" hidden="false" customHeight="false" outlineLevel="0" collapsed="false">
      <c r="A92" s="11" t="n">
        <v>88</v>
      </c>
      <c r="B92" s="66" t="s">
        <v>189</v>
      </c>
      <c r="C92" s="72" t="n">
        <v>3</v>
      </c>
      <c r="D92" s="73" t="n">
        <v>2</v>
      </c>
      <c r="E92" s="11"/>
      <c r="F92" s="69" t="n">
        <v>2</v>
      </c>
      <c r="G92" s="11"/>
      <c r="H92" s="11"/>
      <c r="I92" s="11"/>
      <c r="J92" s="17" t="n">
        <v>72</v>
      </c>
    </row>
    <row r="93" customFormat="false" ht="15" hidden="false" customHeight="false" outlineLevel="0" collapsed="false">
      <c r="A93" s="11" t="n">
        <v>89</v>
      </c>
      <c r="B93" s="66" t="s">
        <v>190</v>
      </c>
      <c r="C93" s="72" t="n">
        <v>3</v>
      </c>
      <c r="D93" s="73" t="n">
        <v>1</v>
      </c>
      <c r="E93" s="67" t="n">
        <v>2</v>
      </c>
      <c r="F93" s="69" t="n">
        <v>1</v>
      </c>
      <c r="G93" s="11"/>
      <c r="H93" s="11"/>
      <c r="I93" s="11"/>
      <c r="J93" s="17" t="n">
        <v>72</v>
      </c>
    </row>
    <row r="94" customFormat="false" ht="15" hidden="false" customHeight="false" outlineLevel="0" collapsed="false">
      <c r="A94" s="11" t="n">
        <v>90</v>
      </c>
      <c r="B94" s="66" t="s">
        <v>191</v>
      </c>
      <c r="C94" s="72" t="n">
        <v>2</v>
      </c>
      <c r="D94" s="73" t="n">
        <v>3</v>
      </c>
      <c r="E94" s="67" t="n">
        <v>1</v>
      </c>
      <c r="F94" s="69" t="n">
        <v>1</v>
      </c>
      <c r="G94" s="11"/>
      <c r="H94" s="11"/>
      <c r="I94" s="11"/>
      <c r="J94" s="17" t="n">
        <v>72</v>
      </c>
    </row>
    <row r="95" customFormat="false" ht="15" hidden="false" customHeight="false" outlineLevel="0" collapsed="false">
      <c r="A95" s="11" t="n">
        <v>91</v>
      </c>
      <c r="B95" s="66" t="s">
        <v>192</v>
      </c>
      <c r="C95" s="72" t="n">
        <v>1</v>
      </c>
      <c r="D95" s="73" t="n">
        <v>5</v>
      </c>
      <c r="E95" s="11"/>
      <c r="F95" s="69" t="n">
        <v>1</v>
      </c>
      <c r="G95" s="11"/>
      <c r="H95" s="11"/>
      <c r="I95" s="11"/>
      <c r="J95" s="17" t="n">
        <v>72</v>
      </c>
    </row>
    <row r="96" customFormat="false" ht="15" hidden="false" customHeight="false" outlineLevel="0" collapsed="false">
      <c r="A96" s="11" t="n">
        <v>92</v>
      </c>
      <c r="B96" s="66" t="s">
        <v>193</v>
      </c>
      <c r="C96" s="72" t="n">
        <v>3</v>
      </c>
      <c r="D96" s="11"/>
      <c r="E96" s="67" t="n">
        <v>4</v>
      </c>
      <c r="F96" s="11"/>
      <c r="G96" s="11"/>
      <c r="H96" s="11"/>
      <c r="I96" s="11"/>
      <c r="J96" s="17" t="n">
        <v>72</v>
      </c>
    </row>
    <row r="97" customFormat="false" ht="15" hidden="false" customHeight="false" outlineLevel="0" collapsed="false">
      <c r="A97" s="11" t="n">
        <v>93</v>
      </c>
      <c r="B97" s="66" t="s">
        <v>194</v>
      </c>
      <c r="C97" s="72" t="n">
        <v>2</v>
      </c>
      <c r="D97" s="73" t="n">
        <v>2</v>
      </c>
      <c r="E97" s="67" t="n">
        <v>3</v>
      </c>
      <c r="F97" s="11"/>
      <c r="G97" s="11"/>
      <c r="H97" s="11"/>
      <c r="I97" s="11"/>
      <c r="J97" s="17" t="n">
        <v>72</v>
      </c>
    </row>
    <row r="98" customFormat="false" ht="15" hidden="false" customHeight="false" outlineLevel="0" collapsed="false">
      <c r="A98" s="11" t="n">
        <v>94</v>
      </c>
      <c r="B98" s="66" t="s">
        <v>195</v>
      </c>
      <c r="C98" s="72" t="n">
        <v>1</v>
      </c>
      <c r="D98" s="73" t="n">
        <v>4</v>
      </c>
      <c r="E98" s="67" t="n">
        <v>2</v>
      </c>
      <c r="F98" s="11"/>
      <c r="G98" s="11"/>
      <c r="H98" s="11"/>
      <c r="I98" s="11"/>
      <c r="J98" s="17" t="n">
        <v>72</v>
      </c>
    </row>
    <row r="99" customFormat="false" ht="15" hidden="false" customHeight="false" outlineLevel="0" collapsed="false">
      <c r="A99" s="11" t="n">
        <v>95</v>
      </c>
      <c r="B99" s="66" t="s">
        <v>196</v>
      </c>
      <c r="C99" s="11"/>
      <c r="D99" s="73" t="n">
        <v>6</v>
      </c>
      <c r="E99" s="67" t="n">
        <v>1</v>
      </c>
      <c r="F99" s="11"/>
      <c r="G99" s="11"/>
      <c r="H99" s="11"/>
      <c r="I99" s="11"/>
      <c r="J99" s="17" t="n">
        <v>72</v>
      </c>
    </row>
    <row r="100" customFormat="false" ht="15" hidden="false" customHeight="false" outlineLevel="0" collapsed="false">
      <c r="A100" s="11" t="n">
        <v>96</v>
      </c>
      <c r="B100" s="66" t="s">
        <v>197</v>
      </c>
      <c r="C100" s="72" t="n">
        <v>7</v>
      </c>
      <c r="D100" s="11"/>
      <c r="E100" s="11"/>
      <c r="F100" s="11"/>
      <c r="G100" s="71" t="n">
        <v>1</v>
      </c>
      <c r="H100" s="11"/>
      <c r="I100" s="11"/>
      <c r="J100" s="17" t="n">
        <v>72</v>
      </c>
    </row>
    <row r="101" customFormat="false" ht="15" hidden="false" customHeight="false" outlineLevel="0" collapsed="false">
      <c r="A101" s="11" t="n">
        <v>97</v>
      </c>
      <c r="B101" s="66" t="s">
        <v>198</v>
      </c>
      <c r="C101" s="72" t="n">
        <v>6</v>
      </c>
      <c r="D101" s="73" t="n">
        <v>1</v>
      </c>
      <c r="E101" s="11"/>
      <c r="F101" s="69" t="n">
        <v>1</v>
      </c>
      <c r="G101" s="11"/>
      <c r="H101" s="11"/>
      <c r="I101" s="11"/>
      <c r="J101" s="17" t="n">
        <v>72</v>
      </c>
    </row>
    <row r="102" customFormat="false" ht="15" hidden="false" customHeight="false" outlineLevel="0" collapsed="false">
      <c r="A102" s="11" t="n">
        <v>98</v>
      </c>
      <c r="B102" s="66" t="s">
        <v>199</v>
      </c>
      <c r="C102" s="72" t="n">
        <v>6</v>
      </c>
      <c r="D102" s="11"/>
      <c r="E102" s="67" t="n">
        <v>2</v>
      </c>
      <c r="F102" s="11"/>
      <c r="G102" s="11"/>
      <c r="H102" s="11"/>
      <c r="I102" s="11"/>
      <c r="J102" s="17" t="n">
        <v>72</v>
      </c>
    </row>
    <row r="103" customFormat="false" ht="15" hidden="false" customHeight="false" outlineLevel="0" collapsed="false">
      <c r="A103" s="11" t="n">
        <v>99</v>
      </c>
      <c r="B103" s="66" t="s">
        <v>200</v>
      </c>
      <c r="C103" s="72" t="n">
        <v>5</v>
      </c>
      <c r="D103" s="73" t="n">
        <v>2</v>
      </c>
      <c r="E103" s="67" t="n">
        <v>1</v>
      </c>
      <c r="F103" s="11"/>
      <c r="G103" s="11"/>
      <c r="H103" s="11"/>
      <c r="I103" s="11"/>
      <c r="J103" s="17" t="n">
        <v>72</v>
      </c>
    </row>
    <row r="104" customFormat="false" ht="15" hidden="false" customHeight="false" outlineLevel="0" collapsed="false">
      <c r="A104" s="11" t="n">
        <v>100</v>
      </c>
      <c r="B104" s="66" t="s">
        <v>201</v>
      </c>
      <c r="C104" s="72" t="n">
        <v>4</v>
      </c>
      <c r="D104" s="73" t="n">
        <v>4</v>
      </c>
      <c r="E104" s="11"/>
      <c r="F104" s="11"/>
      <c r="G104" s="11"/>
      <c r="H104" s="11"/>
      <c r="I104" s="11"/>
      <c r="J104" s="17" t="n">
        <v>72</v>
      </c>
    </row>
    <row r="105" customFormat="false" ht="15" hidden="false" customHeight="false" outlineLevel="0" collapsed="false">
      <c r="A105" s="11" t="n">
        <v>101</v>
      </c>
      <c r="B105" s="66" t="s">
        <v>202</v>
      </c>
      <c r="C105" s="72" t="n">
        <v>9</v>
      </c>
      <c r="D105" s="11"/>
      <c r="E105" s="11"/>
      <c r="F105" s="11"/>
      <c r="G105" s="11"/>
      <c r="H105" s="11"/>
      <c r="I105" s="11"/>
      <c r="J105" s="17" t="n">
        <v>72</v>
      </c>
    </row>
    <row r="107" customFormat="false" ht="15" hidden="false" customHeight="false" outlineLevel="0" collapsed="false">
      <c r="B107" s="21" t="s">
        <v>203</v>
      </c>
      <c r="C107" s="22" t="s">
        <v>63</v>
      </c>
      <c r="D107" s="23" t="s">
        <v>64</v>
      </c>
      <c r="E107" s="24" t="s">
        <v>65</v>
      </c>
      <c r="F107" s="25" t="s">
        <v>66</v>
      </c>
      <c r="G107" s="26" t="s">
        <v>67</v>
      </c>
      <c r="H107" s="27" t="s">
        <v>68</v>
      </c>
      <c r="I107" s="28" t="s">
        <v>69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65" t="s">
        <v>204</v>
      </c>
      <c r="B1" s="65"/>
      <c r="C1" s="65"/>
      <c r="D1" s="65"/>
      <c r="E1" s="65"/>
      <c r="F1" s="65"/>
      <c r="G1" s="65"/>
      <c r="H1" s="65"/>
    </row>
    <row r="3" customFormat="false" ht="15" hidden="false" customHeight="false" outlineLevel="0" collapsed="false">
      <c r="A3" s="74"/>
      <c r="B3" s="74"/>
      <c r="C3" s="74"/>
      <c r="D3" s="74"/>
      <c r="E3" s="74"/>
      <c r="F3" s="74"/>
      <c r="G3" s="74"/>
      <c r="H3" s="74"/>
    </row>
    <row r="4" customFormat="false" ht="15" hidden="false" customHeight="false" outlineLevel="0" collapsed="false">
      <c r="A4" s="74" t="s">
        <v>205</v>
      </c>
      <c r="B4" s="74"/>
      <c r="C4" s="74"/>
      <c r="D4" s="74"/>
      <c r="E4" s="74"/>
      <c r="F4" s="74"/>
      <c r="G4" s="74"/>
      <c r="H4" s="74"/>
    </row>
    <row r="5" customFormat="false" ht="15" hidden="false" customHeight="false" outlineLevel="0" collapsed="false">
      <c r="A5" s="74" t="s">
        <v>206</v>
      </c>
      <c r="B5" s="74"/>
      <c r="C5" s="74"/>
      <c r="D5" s="74"/>
      <c r="E5" s="74"/>
      <c r="F5" s="74"/>
      <c r="G5" s="74"/>
      <c r="H5" s="74"/>
    </row>
    <row r="6" customFormat="false" ht="15" hidden="false" customHeight="false" outlineLevel="0" collapsed="false">
      <c r="A6" s="74" t="s">
        <v>207</v>
      </c>
      <c r="B6" s="74"/>
      <c r="C6" s="74"/>
      <c r="D6" s="74"/>
      <c r="E6" s="74"/>
      <c r="F6" s="74"/>
      <c r="G6" s="74"/>
      <c r="H6" s="74"/>
    </row>
    <row r="7" customFormat="false" ht="15" hidden="false" customHeight="false" outlineLevel="0" collapsed="false">
      <c r="A7" s="74" t="s">
        <v>208</v>
      </c>
      <c r="B7" s="74"/>
      <c r="C7" s="74"/>
      <c r="D7" s="74"/>
      <c r="E7" s="74"/>
      <c r="F7" s="74"/>
      <c r="G7" s="74"/>
      <c r="H7" s="74"/>
    </row>
    <row r="8" customFormat="false" ht="15" hidden="false" customHeight="false" outlineLevel="0" collapsed="false">
      <c r="A8" s="74" t="s">
        <v>209</v>
      </c>
      <c r="B8" s="74"/>
      <c r="C8" s="74"/>
      <c r="D8" s="74"/>
      <c r="E8" s="74"/>
      <c r="F8" s="74"/>
      <c r="G8" s="74"/>
      <c r="H8" s="74"/>
    </row>
    <row r="9" customFormat="false" ht="15" hidden="false" customHeight="false" outlineLevel="0" collapsed="false">
      <c r="A9" s="74" t="s">
        <v>210</v>
      </c>
      <c r="B9" s="74"/>
      <c r="C9" s="74"/>
      <c r="D9" s="74"/>
      <c r="E9" s="74"/>
      <c r="F9" s="74"/>
      <c r="G9" s="74"/>
      <c r="H9" s="74"/>
    </row>
    <row r="10" customFormat="false" ht="15" hidden="false" customHeight="false" outlineLevel="0" collapsed="false">
      <c r="A10" s="74"/>
      <c r="B10" s="74"/>
      <c r="C10" s="74"/>
      <c r="D10" s="74"/>
      <c r="E10" s="74"/>
      <c r="F10" s="74"/>
      <c r="G10" s="74"/>
      <c r="H10" s="74"/>
    </row>
    <row r="11" customFormat="false" ht="15" hidden="false" customHeight="false" outlineLevel="0" collapsed="false">
      <c r="A11" s="74" t="s">
        <v>211</v>
      </c>
      <c r="B11" s="74"/>
      <c r="C11" s="74"/>
      <c r="D11" s="74"/>
      <c r="E11" s="74"/>
      <c r="F11" s="74"/>
      <c r="G11" s="74"/>
      <c r="H11" s="74"/>
    </row>
    <row r="12" customFormat="false" ht="15" hidden="false" customHeight="false" outlineLevel="0" collapsed="false">
      <c r="A12" s="74"/>
      <c r="B12" s="74"/>
      <c r="C12" s="74"/>
      <c r="D12" s="74"/>
      <c r="E12" s="74"/>
      <c r="F12" s="74"/>
      <c r="G12" s="74"/>
      <c r="H12" s="74"/>
    </row>
    <row r="13" customFormat="false" ht="15" hidden="false" customHeight="false" outlineLevel="0" collapsed="false">
      <c r="A13" s="13" t="s">
        <v>212</v>
      </c>
      <c r="B13" s="13"/>
      <c r="C13" s="13"/>
      <c r="D13" s="13"/>
      <c r="E13" s="13"/>
      <c r="F13" s="13"/>
      <c r="G13" s="13"/>
      <c r="H13" s="13"/>
    </row>
    <row r="15" customFormat="false" ht="15" hidden="false" customHeight="false" outlineLevel="0" collapsed="false">
      <c r="A15" s="75" t="s">
        <v>213</v>
      </c>
      <c r="B15" s="75"/>
      <c r="C15" s="75"/>
      <c r="D15" s="75"/>
      <c r="E15" s="75"/>
      <c r="F15" s="75"/>
      <c r="G15" s="75"/>
      <c r="H15" s="75"/>
    </row>
    <row r="16" customFormat="false" ht="15" hidden="false" customHeight="false" outlineLevel="0" collapsed="false">
      <c r="A16" s="75" t="s">
        <v>214</v>
      </c>
      <c r="B16" s="75"/>
      <c r="C16" s="75"/>
      <c r="D16" s="75"/>
      <c r="E16" s="75"/>
      <c r="F16" s="75"/>
      <c r="G16" s="75"/>
      <c r="H16" s="75"/>
    </row>
    <row r="17" customFormat="false" ht="15" hidden="false" customHeight="false" outlineLevel="0" collapsed="false">
      <c r="A17" s="75" t="s">
        <v>215</v>
      </c>
      <c r="B17" s="75"/>
      <c r="C17" s="75"/>
      <c r="D17" s="75"/>
      <c r="E17" s="75"/>
      <c r="F17" s="75"/>
      <c r="G17" s="75"/>
      <c r="H17" s="75"/>
    </row>
    <row r="18" customFormat="false" ht="15" hidden="false" customHeight="false" outlineLevel="0" collapsed="false">
      <c r="A18" s="75" t="s">
        <v>216</v>
      </c>
      <c r="B18" s="75"/>
      <c r="C18" s="75"/>
      <c r="D18" s="75"/>
      <c r="E18" s="75"/>
      <c r="F18" s="75"/>
      <c r="G18" s="75"/>
      <c r="H18" s="75"/>
    </row>
    <row r="19" customFormat="false" ht="15" hidden="false" customHeight="false" outlineLevel="0" collapsed="false">
      <c r="A19" s="75" t="s">
        <v>217</v>
      </c>
      <c r="B19" s="75"/>
      <c r="C19" s="75"/>
      <c r="D19" s="75"/>
      <c r="E19" s="75"/>
      <c r="F19" s="75"/>
      <c r="G19" s="75"/>
      <c r="H19" s="75"/>
    </row>
    <row r="20" customFormat="false" ht="15" hidden="false" customHeight="false" outlineLevel="0" collapsed="false">
      <c r="A20" s="75" t="s">
        <v>218</v>
      </c>
      <c r="B20" s="75"/>
      <c r="C20" s="75"/>
      <c r="D20" s="75"/>
      <c r="E20" s="75"/>
      <c r="F20" s="75"/>
      <c r="G20" s="75"/>
      <c r="H20" s="75"/>
    </row>
    <row r="21" customFormat="false" ht="15" hidden="false" customHeight="false" outlineLevel="0" collapsed="false">
      <c r="A21" s="75" t="s">
        <v>219</v>
      </c>
      <c r="B21" s="75"/>
      <c r="C21" s="75"/>
      <c r="D21" s="75"/>
      <c r="E21" s="75"/>
      <c r="F21" s="75"/>
      <c r="G21" s="75"/>
      <c r="H21" s="75"/>
    </row>
    <row r="22" customFormat="false" ht="15" hidden="false" customHeight="false" outlineLevel="0" collapsed="false">
      <c r="A22" s="75" t="s">
        <v>220</v>
      </c>
      <c r="B22" s="75"/>
      <c r="C22" s="75"/>
      <c r="D22" s="75"/>
      <c r="E22" s="75"/>
      <c r="F22" s="75"/>
      <c r="G22" s="75"/>
      <c r="H22" s="75"/>
    </row>
    <row r="23" customFormat="false" ht="15" hidden="false" customHeight="false" outlineLevel="0" collapsed="false">
      <c r="A23" s="75" t="s">
        <v>221</v>
      </c>
      <c r="B23" s="75"/>
      <c r="C23" s="75"/>
      <c r="D23" s="75"/>
      <c r="E23" s="75"/>
      <c r="F23" s="75"/>
      <c r="G23" s="75"/>
      <c r="H23" s="75"/>
    </row>
    <row r="24" customFormat="false" ht="15" hidden="false" customHeight="false" outlineLevel="0" collapsed="false">
      <c r="A24" s="75" t="s">
        <v>222</v>
      </c>
      <c r="B24" s="75"/>
      <c r="C24" s="75"/>
      <c r="D24" s="75"/>
      <c r="E24" s="75"/>
      <c r="F24" s="75"/>
      <c r="G24" s="75"/>
      <c r="H24" s="75"/>
    </row>
    <row r="25" customFormat="false" ht="15" hidden="false" customHeight="false" outlineLevel="0" collapsed="false">
      <c r="A25" s="75" t="s">
        <v>223</v>
      </c>
      <c r="B25" s="75"/>
      <c r="C25" s="75"/>
      <c r="D25" s="75"/>
      <c r="E25" s="75"/>
      <c r="F25" s="75"/>
      <c r="G25" s="75"/>
      <c r="H25" s="75"/>
    </row>
    <row r="26" customFormat="false" ht="15" hidden="false" customHeight="false" outlineLevel="0" collapsed="false">
      <c r="A26" s="75" t="s">
        <v>224</v>
      </c>
      <c r="B26" s="75"/>
      <c r="C26" s="75"/>
      <c r="D26" s="75"/>
      <c r="E26" s="75"/>
      <c r="F26" s="75"/>
      <c r="G26" s="75"/>
      <c r="H26" s="75"/>
    </row>
    <row r="27" customFormat="false" ht="15" hidden="false" customHeight="false" outlineLevel="0" collapsed="false">
      <c r="A27" s="75" t="s">
        <v>225</v>
      </c>
      <c r="B27" s="75"/>
      <c r="C27" s="75"/>
      <c r="D27" s="75"/>
      <c r="E27" s="75"/>
      <c r="F27" s="75"/>
      <c r="G27" s="75"/>
      <c r="H27" s="75"/>
    </row>
    <row r="28" customFormat="false" ht="15" hidden="false" customHeight="false" outlineLevel="0" collapsed="false">
      <c r="A28" s="75" t="s">
        <v>226</v>
      </c>
      <c r="B28" s="75"/>
      <c r="C28" s="75"/>
      <c r="D28" s="75"/>
      <c r="E28" s="75"/>
      <c r="F28" s="75"/>
      <c r="G28" s="75"/>
      <c r="H28" s="75"/>
    </row>
    <row r="29" customFormat="false" ht="15" hidden="false" customHeight="false" outlineLevel="0" collapsed="false">
      <c r="A29" s="75" t="s">
        <v>227</v>
      </c>
      <c r="B29" s="75"/>
      <c r="C29" s="75"/>
      <c r="D29" s="75"/>
      <c r="E29" s="75"/>
      <c r="F29" s="75"/>
      <c r="G29" s="75"/>
      <c r="H29" s="75"/>
    </row>
    <row r="30" customFormat="false" ht="15" hidden="false" customHeight="false" outlineLevel="0" collapsed="false">
      <c r="A30" s="75" t="s">
        <v>228</v>
      </c>
      <c r="B30" s="75"/>
      <c r="C30" s="75"/>
      <c r="D30" s="75"/>
      <c r="E30" s="75"/>
      <c r="F30" s="75"/>
      <c r="G30" s="75"/>
      <c r="H30" s="75"/>
    </row>
    <row r="31" customFormat="false" ht="15" hidden="false" customHeight="false" outlineLevel="0" collapsed="false">
      <c r="A31" s="75" t="s">
        <v>229</v>
      </c>
      <c r="B31" s="75"/>
      <c r="C31" s="75"/>
      <c r="D31" s="75"/>
      <c r="E31" s="75"/>
      <c r="F31" s="75"/>
      <c r="G31" s="75"/>
      <c r="H31" s="75"/>
    </row>
    <row r="32" customFormat="false" ht="15" hidden="false" customHeight="false" outlineLevel="0" collapsed="false">
      <c r="A32" s="75" t="s">
        <v>230</v>
      </c>
      <c r="B32" s="75"/>
      <c r="C32" s="75"/>
      <c r="D32" s="75"/>
      <c r="E32" s="75"/>
      <c r="F32" s="75"/>
      <c r="G32" s="75"/>
      <c r="H32" s="75"/>
    </row>
    <row r="33" customFormat="false" ht="15" hidden="false" customHeight="false" outlineLevel="0" collapsed="false">
      <c r="A33" s="75" t="s">
        <v>231</v>
      </c>
      <c r="B33" s="75"/>
      <c r="C33" s="75"/>
      <c r="D33" s="75"/>
      <c r="E33" s="75"/>
      <c r="F33" s="75"/>
      <c r="G33" s="75"/>
      <c r="H33" s="75"/>
    </row>
    <row r="34" customFormat="false" ht="15" hidden="false" customHeight="false" outlineLevel="0" collapsed="false">
      <c r="A34" s="75" t="s">
        <v>232</v>
      </c>
      <c r="B34" s="75"/>
      <c r="C34" s="75"/>
      <c r="D34" s="75"/>
      <c r="E34" s="75"/>
      <c r="F34" s="75"/>
      <c r="G34" s="75"/>
      <c r="H34" s="75"/>
    </row>
    <row r="35" customFormat="false" ht="15" hidden="false" customHeight="false" outlineLevel="0" collapsed="false">
      <c r="A35" s="75" t="s">
        <v>221</v>
      </c>
      <c r="B35" s="75"/>
      <c r="C35" s="75"/>
      <c r="D35" s="75"/>
      <c r="E35" s="75"/>
      <c r="F35" s="75"/>
      <c r="G35" s="75"/>
      <c r="H35" s="75"/>
    </row>
    <row r="36" customFormat="false" ht="15" hidden="false" customHeight="false" outlineLevel="0" collapsed="false">
      <c r="A36" s="75" t="s">
        <v>233</v>
      </c>
      <c r="B36" s="75"/>
      <c r="C36" s="75"/>
      <c r="D36" s="75"/>
      <c r="E36" s="75"/>
      <c r="F36" s="75"/>
      <c r="G36" s="75"/>
      <c r="H36" s="75"/>
    </row>
    <row r="37" customFormat="false" ht="15" hidden="false" customHeight="false" outlineLevel="0" collapsed="false">
      <c r="A37" s="75" t="s">
        <v>234</v>
      </c>
      <c r="B37" s="75"/>
      <c r="C37" s="75"/>
      <c r="D37" s="75"/>
      <c r="E37" s="75"/>
      <c r="F37" s="75"/>
      <c r="G37" s="75"/>
      <c r="H37" s="75"/>
    </row>
    <row r="38" customFormat="false" ht="15" hidden="false" customHeight="false" outlineLevel="0" collapsed="false">
      <c r="A38" s="75" t="s">
        <v>235</v>
      </c>
      <c r="B38" s="75"/>
      <c r="C38" s="75"/>
      <c r="D38" s="75"/>
      <c r="E38" s="75"/>
      <c r="F38" s="75"/>
      <c r="G38" s="75"/>
      <c r="H38" s="75"/>
    </row>
    <row r="39" customFormat="false" ht="15" hidden="false" customHeight="false" outlineLevel="0" collapsed="false">
      <c r="A39" s="75" t="s">
        <v>236</v>
      </c>
      <c r="B39" s="75"/>
      <c r="C39" s="75"/>
      <c r="D39" s="75"/>
      <c r="E39" s="75"/>
      <c r="F39" s="75"/>
      <c r="G39" s="75"/>
      <c r="H39" s="75"/>
    </row>
    <row r="40" customFormat="false" ht="15" hidden="false" customHeight="false" outlineLevel="0" collapsed="false">
      <c r="A40" s="75" t="s">
        <v>237</v>
      </c>
      <c r="B40" s="75"/>
      <c r="C40" s="75"/>
      <c r="D40" s="75"/>
      <c r="E40" s="75"/>
      <c r="F40" s="75"/>
      <c r="G40" s="75"/>
      <c r="H40" s="75"/>
    </row>
    <row r="41" customFormat="false" ht="15" hidden="false" customHeight="false" outlineLevel="0" collapsed="false">
      <c r="A41" s="75" t="s">
        <v>238</v>
      </c>
      <c r="B41" s="75"/>
      <c r="C41" s="75"/>
      <c r="D41" s="75"/>
      <c r="E41" s="75"/>
      <c r="F41" s="75"/>
      <c r="G41" s="75"/>
      <c r="H41" s="75"/>
    </row>
    <row r="42" customFormat="false" ht="15" hidden="false" customHeight="false" outlineLevel="0" collapsed="false">
      <c r="A42" s="75" t="s">
        <v>239</v>
      </c>
      <c r="B42" s="75"/>
      <c r="C42" s="75"/>
      <c r="D42" s="75"/>
      <c r="E42" s="75"/>
      <c r="F42" s="75"/>
      <c r="G42" s="75"/>
      <c r="H42" s="75"/>
    </row>
    <row r="43" customFormat="false" ht="15" hidden="false" customHeight="false" outlineLevel="0" collapsed="false">
      <c r="A43" s="75" t="s">
        <v>240</v>
      </c>
      <c r="B43" s="75"/>
      <c r="C43" s="75"/>
      <c r="D43" s="75"/>
      <c r="E43" s="75"/>
      <c r="F43" s="75"/>
      <c r="G43" s="75"/>
      <c r="H43" s="75"/>
    </row>
    <row r="44" customFormat="false" ht="15" hidden="false" customHeight="false" outlineLevel="0" collapsed="false">
      <c r="A44" s="75" t="s">
        <v>241</v>
      </c>
      <c r="B44" s="75"/>
      <c r="C44" s="75"/>
      <c r="D44" s="75"/>
      <c r="E44" s="75"/>
      <c r="F44" s="75"/>
      <c r="G44" s="75"/>
      <c r="H44" s="75"/>
    </row>
    <row r="45" customFormat="false" ht="15" hidden="false" customHeight="false" outlineLevel="0" collapsed="false">
      <c r="A45" s="75" t="s">
        <v>242</v>
      </c>
      <c r="B45" s="75"/>
      <c r="C45" s="75"/>
      <c r="D45" s="75"/>
      <c r="E45" s="75"/>
      <c r="F45" s="75"/>
      <c r="G45" s="75"/>
      <c r="H45" s="75"/>
    </row>
    <row r="46" customFormat="false" ht="15" hidden="false" customHeight="false" outlineLevel="0" collapsed="false">
      <c r="A46" s="75" t="s">
        <v>243</v>
      </c>
      <c r="B46" s="75"/>
      <c r="C46" s="75"/>
      <c r="D46" s="75"/>
      <c r="E46" s="75"/>
      <c r="F46" s="75"/>
      <c r="G46" s="75"/>
      <c r="H46" s="75"/>
    </row>
    <row r="47" customFormat="false" ht="15" hidden="false" customHeight="false" outlineLevel="0" collapsed="false">
      <c r="A47" s="75" t="s">
        <v>244</v>
      </c>
      <c r="B47" s="75"/>
      <c r="C47" s="75"/>
      <c r="D47" s="75"/>
      <c r="E47" s="75"/>
      <c r="F47" s="75"/>
      <c r="G47" s="75"/>
      <c r="H47" s="75"/>
    </row>
    <row r="48" customFormat="false" ht="15" hidden="false" customHeight="false" outlineLevel="0" collapsed="false">
      <c r="A48" s="75" t="s">
        <v>245</v>
      </c>
      <c r="B48" s="75"/>
      <c r="C48" s="75"/>
      <c r="D48" s="75"/>
      <c r="E48" s="75"/>
      <c r="F48" s="75"/>
      <c r="G48" s="75"/>
      <c r="H48" s="75"/>
    </row>
    <row r="49" customFormat="false" ht="15" hidden="false" customHeight="false" outlineLevel="0" collapsed="false">
      <c r="A49" s="75" t="s">
        <v>246</v>
      </c>
      <c r="B49" s="75"/>
      <c r="C49" s="75"/>
      <c r="D49" s="75"/>
      <c r="E49" s="75"/>
      <c r="F49" s="75"/>
      <c r="G49" s="75"/>
      <c r="H49" s="75"/>
    </row>
    <row r="50" customFormat="false" ht="15" hidden="false" customHeight="false" outlineLevel="0" collapsed="false">
      <c r="A50" s="75" t="s">
        <v>247</v>
      </c>
      <c r="B50" s="75"/>
      <c r="C50" s="75"/>
      <c r="D50" s="75"/>
      <c r="E50" s="75"/>
      <c r="F50" s="75"/>
      <c r="G50" s="75"/>
      <c r="H50" s="75"/>
    </row>
    <row r="51" customFormat="false" ht="15" hidden="false" customHeight="false" outlineLevel="0" collapsed="false">
      <c r="A51" s="75" t="s">
        <v>248</v>
      </c>
      <c r="B51" s="75"/>
      <c r="C51" s="75"/>
      <c r="D51" s="75"/>
      <c r="E51" s="75"/>
      <c r="F51" s="75"/>
      <c r="G51" s="75"/>
      <c r="H51" s="75"/>
    </row>
    <row r="52" customFormat="false" ht="15" hidden="false" customHeight="false" outlineLevel="0" collapsed="false">
      <c r="A52" s="75" t="s">
        <v>249</v>
      </c>
      <c r="B52" s="75"/>
      <c r="C52" s="75"/>
      <c r="D52" s="75"/>
      <c r="E52" s="75"/>
      <c r="F52" s="75"/>
      <c r="G52" s="75"/>
      <c r="H52" s="75"/>
    </row>
    <row r="53" customFormat="false" ht="15" hidden="false" customHeight="false" outlineLevel="0" collapsed="false">
      <c r="A53" s="75" t="s">
        <v>250</v>
      </c>
      <c r="B53" s="75"/>
      <c r="C53" s="75"/>
      <c r="D53" s="75"/>
      <c r="E53" s="75"/>
      <c r="F53" s="75"/>
      <c r="G53" s="75"/>
      <c r="H53" s="75"/>
    </row>
    <row r="54" customFormat="false" ht="15" hidden="false" customHeight="false" outlineLevel="0" collapsed="false">
      <c r="A54" s="75" t="s">
        <v>251</v>
      </c>
      <c r="B54" s="75"/>
      <c r="C54" s="75"/>
      <c r="D54" s="75"/>
      <c r="E54" s="75"/>
      <c r="F54" s="75"/>
      <c r="G54" s="75"/>
      <c r="H54" s="75"/>
    </row>
    <row r="55" customFormat="false" ht="15" hidden="false" customHeight="false" outlineLevel="0" collapsed="false">
      <c r="A55" s="75" t="s">
        <v>252</v>
      </c>
      <c r="B55" s="75"/>
      <c r="C55" s="75"/>
      <c r="D55" s="75"/>
      <c r="E55" s="75"/>
      <c r="F55" s="75"/>
      <c r="G55" s="75"/>
      <c r="H55" s="75"/>
    </row>
    <row r="56" customFormat="false" ht="15" hidden="false" customHeight="false" outlineLevel="0" collapsed="false">
      <c r="A56" s="75" t="s">
        <v>253</v>
      </c>
      <c r="B56" s="75"/>
      <c r="C56" s="75"/>
      <c r="D56" s="75"/>
      <c r="E56" s="75"/>
      <c r="F56" s="75"/>
      <c r="G56" s="75"/>
      <c r="H56" s="75"/>
    </row>
    <row r="57" customFormat="false" ht="15" hidden="false" customHeight="false" outlineLevel="0" collapsed="false">
      <c r="A57" s="75" t="s">
        <v>221</v>
      </c>
      <c r="B57" s="75"/>
      <c r="C57" s="75"/>
      <c r="D57" s="75"/>
      <c r="E57" s="75"/>
      <c r="F57" s="75"/>
      <c r="G57" s="75"/>
      <c r="H57" s="75"/>
    </row>
    <row r="58" customFormat="false" ht="15" hidden="false" customHeight="false" outlineLevel="0" collapsed="false">
      <c r="A58" s="75" t="s">
        <v>254</v>
      </c>
      <c r="B58" s="75"/>
      <c r="C58" s="75"/>
      <c r="D58" s="75"/>
      <c r="E58" s="75"/>
      <c r="F58" s="75"/>
      <c r="G58" s="75"/>
      <c r="H58" s="75"/>
    </row>
    <row r="59" customFormat="false" ht="15" hidden="false" customHeight="false" outlineLevel="0" collapsed="false">
      <c r="A59" s="75" t="s">
        <v>255</v>
      </c>
      <c r="B59" s="75"/>
      <c r="C59" s="75"/>
      <c r="D59" s="75"/>
      <c r="E59" s="75"/>
      <c r="F59" s="75"/>
      <c r="G59" s="75"/>
      <c r="H59" s="75"/>
    </row>
    <row r="60" customFormat="false" ht="15" hidden="false" customHeight="false" outlineLevel="0" collapsed="false">
      <c r="A60" s="75" t="s">
        <v>256</v>
      </c>
      <c r="B60" s="75"/>
      <c r="C60" s="75"/>
      <c r="D60" s="75"/>
      <c r="E60" s="75"/>
      <c r="F60" s="75"/>
      <c r="G60" s="75"/>
      <c r="H60" s="75"/>
    </row>
    <row r="61" customFormat="false" ht="15" hidden="false" customHeight="false" outlineLevel="0" collapsed="false">
      <c r="A61" s="75" t="s">
        <v>257</v>
      </c>
      <c r="B61" s="75"/>
      <c r="C61" s="75"/>
      <c r="D61" s="75"/>
      <c r="E61" s="75"/>
      <c r="F61" s="75"/>
      <c r="G61" s="75"/>
      <c r="H61" s="75"/>
    </row>
    <row r="62" customFormat="false" ht="15" hidden="false" customHeight="false" outlineLevel="0" collapsed="false">
      <c r="A62" s="75" t="s">
        <v>258</v>
      </c>
      <c r="B62" s="75"/>
      <c r="C62" s="75"/>
      <c r="D62" s="75"/>
      <c r="E62" s="75"/>
      <c r="F62" s="75"/>
      <c r="G62" s="75"/>
      <c r="H62" s="75"/>
    </row>
    <row r="63" customFormat="false" ht="15" hidden="false" customHeight="false" outlineLevel="0" collapsed="false">
      <c r="A63" s="75" t="s">
        <v>259</v>
      </c>
      <c r="B63" s="75"/>
      <c r="C63" s="75"/>
      <c r="D63" s="75"/>
      <c r="E63" s="75"/>
      <c r="F63" s="75"/>
      <c r="G63" s="75"/>
      <c r="H63" s="75"/>
    </row>
    <row r="64" customFormat="false" ht="15" hidden="false" customHeight="false" outlineLevel="0" collapsed="false">
      <c r="A64" s="75" t="s">
        <v>260</v>
      </c>
      <c r="B64" s="75"/>
      <c r="C64" s="75"/>
      <c r="D64" s="75"/>
      <c r="E64" s="75"/>
      <c r="F64" s="75"/>
      <c r="G64" s="75"/>
      <c r="H64" s="75"/>
    </row>
    <row r="65" customFormat="false" ht="15" hidden="false" customHeight="false" outlineLevel="0" collapsed="false">
      <c r="A65" s="75" t="s">
        <v>261</v>
      </c>
      <c r="B65" s="75"/>
      <c r="C65" s="75"/>
      <c r="D65" s="75"/>
      <c r="E65" s="75"/>
      <c r="F65" s="75"/>
      <c r="G65" s="75"/>
      <c r="H65" s="75"/>
    </row>
    <row r="66" customFormat="false" ht="15" hidden="false" customHeight="false" outlineLevel="0" collapsed="false">
      <c r="A66" s="75" t="s">
        <v>262</v>
      </c>
      <c r="B66" s="75"/>
      <c r="C66" s="75"/>
      <c r="D66" s="75"/>
      <c r="E66" s="75"/>
      <c r="F66" s="75"/>
      <c r="G66" s="75"/>
      <c r="H66" s="75"/>
    </row>
    <row r="67" customFormat="false" ht="15" hidden="false" customHeight="false" outlineLevel="0" collapsed="false">
      <c r="A67" s="75" t="s">
        <v>221</v>
      </c>
      <c r="B67" s="75"/>
      <c r="C67" s="75"/>
      <c r="D67" s="75"/>
      <c r="E67" s="75"/>
      <c r="F67" s="75"/>
      <c r="G67" s="75"/>
      <c r="H67" s="75"/>
    </row>
    <row r="68" customFormat="false" ht="15" hidden="false" customHeight="false" outlineLevel="0" collapsed="false">
      <c r="A68" s="75" t="s">
        <v>263</v>
      </c>
      <c r="B68" s="75"/>
      <c r="C68" s="75"/>
      <c r="D68" s="75"/>
      <c r="E68" s="75"/>
      <c r="F68" s="75"/>
      <c r="G68" s="75"/>
      <c r="H68" s="75"/>
    </row>
    <row r="69" customFormat="false" ht="15" hidden="false" customHeight="false" outlineLevel="0" collapsed="false">
      <c r="A69" s="75" t="s">
        <v>264</v>
      </c>
      <c r="B69" s="75"/>
      <c r="C69" s="75"/>
      <c r="D69" s="75"/>
      <c r="E69" s="75"/>
      <c r="F69" s="75"/>
      <c r="G69" s="75"/>
      <c r="H69" s="75"/>
    </row>
    <row r="70" customFormat="false" ht="15" hidden="false" customHeight="false" outlineLevel="0" collapsed="false">
      <c r="A70" s="75" t="s">
        <v>265</v>
      </c>
      <c r="B70" s="75"/>
      <c r="C70" s="75"/>
      <c r="D70" s="75"/>
      <c r="E70" s="75"/>
      <c r="F70" s="75"/>
      <c r="G70" s="75"/>
      <c r="H70" s="75"/>
    </row>
    <row r="71" customFormat="false" ht="15" hidden="false" customHeight="false" outlineLevel="0" collapsed="false">
      <c r="A71" s="75" t="s">
        <v>266</v>
      </c>
      <c r="B71" s="75"/>
      <c r="C71" s="75"/>
      <c r="D71" s="75"/>
      <c r="E71" s="75"/>
      <c r="F71" s="75"/>
      <c r="G71" s="75"/>
      <c r="H71" s="75"/>
    </row>
    <row r="72" customFormat="false" ht="15" hidden="false" customHeight="false" outlineLevel="0" collapsed="false">
      <c r="A72" s="75" t="s">
        <v>267</v>
      </c>
      <c r="B72" s="75"/>
      <c r="C72" s="75"/>
      <c r="D72" s="75"/>
      <c r="E72" s="75"/>
      <c r="F72" s="75"/>
      <c r="G72" s="75"/>
      <c r="H72" s="75"/>
    </row>
    <row r="73" customFormat="false" ht="15" hidden="false" customHeight="false" outlineLevel="0" collapsed="false">
      <c r="A73" s="75" t="s">
        <v>268</v>
      </c>
      <c r="B73" s="75"/>
      <c r="C73" s="75"/>
      <c r="D73" s="75"/>
      <c r="E73" s="75"/>
      <c r="F73" s="75"/>
      <c r="G73" s="75"/>
      <c r="H73" s="75"/>
    </row>
    <row r="74" customFormat="false" ht="15" hidden="false" customHeight="false" outlineLevel="0" collapsed="false">
      <c r="A74" s="75" t="s">
        <v>269</v>
      </c>
      <c r="B74" s="75"/>
      <c r="C74" s="75"/>
      <c r="D74" s="75"/>
      <c r="E74" s="75"/>
      <c r="F74" s="75"/>
      <c r="G74" s="75"/>
      <c r="H74" s="75"/>
    </row>
    <row r="75" customFormat="false" ht="15" hidden="false" customHeight="false" outlineLevel="0" collapsed="false">
      <c r="A75" s="75" t="s">
        <v>270</v>
      </c>
      <c r="B75" s="75"/>
      <c r="C75" s="75"/>
      <c r="D75" s="75"/>
      <c r="E75" s="75"/>
      <c r="F75" s="75"/>
      <c r="G75" s="75"/>
      <c r="H75" s="75"/>
    </row>
    <row r="76" customFormat="false" ht="15" hidden="false" customHeight="false" outlineLevel="0" collapsed="false">
      <c r="A76" s="75" t="s">
        <v>271</v>
      </c>
      <c r="B76" s="75"/>
      <c r="C76" s="75"/>
      <c r="D76" s="75"/>
      <c r="E76" s="75"/>
      <c r="F76" s="75"/>
      <c r="G76" s="75"/>
      <c r="H76" s="75"/>
    </row>
    <row r="77" customFormat="false" ht="15" hidden="false" customHeight="false" outlineLevel="0" collapsed="false">
      <c r="A77" s="75" t="s">
        <v>267</v>
      </c>
      <c r="B77" s="75"/>
      <c r="C77" s="75"/>
      <c r="D77" s="75"/>
      <c r="E77" s="75"/>
      <c r="F77" s="75"/>
      <c r="G77" s="75"/>
      <c r="H77" s="75"/>
    </row>
    <row r="78" customFormat="false" ht="15" hidden="false" customHeight="false" outlineLevel="0" collapsed="false">
      <c r="A78" s="75" t="s">
        <v>221</v>
      </c>
      <c r="B78" s="75"/>
      <c r="C78" s="75"/>
      <c r="D78" s="75"/>
      <c r="E78" s="75"/>
      <c r="F78" s="75"/>
      <c r="G78" s="75"/>
      <c r="H78" s="75"/>
    </row>
    <row r="79" customFormat="false" ht="15" hidden="false" customHeight="false" outlineLevel="0" collapsed="false">
      <c r="A79" s="75" t="s">
        <v>272</v>
      </c>
      <c r="B79" s="75"/>
      <c r="C79" s="75"/>
      <c r="D79" s="75"/>
      <c r="E79" s="75"/>
      <c r="F79" s="75"/>
      <c r="G79" s="75"/>
      <c r="H79" s="75"/>
    </row>
    <row r="80" customFormat="false" ht="15" hidden="false" customHeight="false" outlineLevel="0" collapsed="false">
      <c r="A80" s="75" t="s">
        <v>273</v>
      </c>
      <c r="B80" s="75"/>
      <c r="C80" s="75"/>
      <c r="D80" s="75"/>
      <c r="E80" s="75"/>
      <c r="F80" s="75"/>
      <c r="G80" s="75"/>
      <c r="H80" s="75"/>
    </row>
    <row r="81" customFormat="false" ht="15" hidden="false" customHeight="false" outlineLevel="0" collapsed="false">
      <c r="A81" s="75" t="s">
        <v>274</v>
      </c>
      <c r="B81" s="75"/>
      <c r="C81" s="75"/>
      <c r="D81" s="75"/>
      <c r="E81" s="75"/>
      <c r="F81" s="75"/>
      <c r="G81" s="75"/>
      <c r="H81" s="75"/>
    </row>
    <row r="82" customFormat="false" ht="15" hidden="false" customHeight="false" outlineLevel="0" collapsed="false">
      <c r="A82" s="75" t="s">
        <v>275</v>
      </c>
      <c r="B82" s="75"/>
      <c r="C82" s="75"/>
      <c r="D82" s="75"/>
      <c r="E82" s="75"/>
      <c r="F82" s="75"/>
      <c r="G82" s="75"/>
      <c r="H82" s="75"/>
    </row>
    <row r="83" customFormat="false" ht="15" hidden="false" customHeight="false" outlineLevel="0" collapsed="false">
      <c r="A83" s="75" t="s">
        <v>276</v>
      </c>
      <c r="B83" s="75"/>
      <c r="C83" s="75"/>
      <c r="D83" s="75"/>
      <c r="E83" s="75"/>
      <c r="F83" s="75"/>
      <c r="G83" s="75"/>
      <c r="H83" s="75"/>
    </row>
    <row r="84" customFormat="false" ht="15" hidden="false" customHeight="false" outlineLevel="0" collapsed="false">
      <c r="A84" s="75" t="s">
        <v>277</v>
      </c>
      <c r="B84" s="75"/>
      <c r="C84" s="75"/>
      <c r="D84" s="75"/>
      <c r="E84" s="75"/>
      <c r="F84" s="75"/>
      <c r="G84" s="75"/>
      <c r="H84" s="75"/>
    </row>
    <row r="85" customFormat="false" ht="15" hidden="false" customHeight="false" outlineLevel="0" collapsed="false">
      <c r="A85" s="75" t="s">
        <v>278</v>
      </c>
      <c r="B85" s="75"/>
      <c r="C85" s="75"/>
      <c r="D85" s="75"/>
      <c r="E85" s="75"/>
      <c r="F85" s="75"/>
      <c r="G85" s="75"/>
      <c r="H85" s="75"/>
    </row>
    <row r="86" customFormat="false" ht="15" hidden="false" customHeight="false" outlineLevel="0" collapsed="false">
      <c r="A86" s="75" t="s">
        <v>279</v>
      </c>
      <c r="B86" s="75"/>
      <c r="C86" s="75"/>
      <c r="D86" s="75"/>
      <c r="E86" s="75"/>
      <c r="F86" s="75"/>
      <c r="G86" s="75"/>
      <c r="H86" s="75"/>
    </row>
    <row r="87" customFormat="false" ht="15" hidden="false" customHeight="false" outlineLevel="0" collapsed="false">
      <c r="A87" s="75" t="s">
        <v>280</v>
      </c>
      <c r="B87" s="75"/>
      <c r="C87" s="75"/>
      <c r="D87" s="75"/>
      <c r="E87" s="75"/>
      <c r="F87" s="75"/>
      <c r="G87" s="75"/>
      <c r="H87" s="75"/>
    </row>
    <row r="88" customFormat="false" ht="15" hidden="false" customHeight="false" outlineLevel="0" collapsed="false">
      <c r="A88" s="75" t="s">
        <v>221</v>
      </c>
      <c r="B88" s="75"/>
      <c r="C88" s="75"/>
      <c r="D88" s="75"/>
      <c r="E88" s="75"/>
      <c r="F88" s="75"/>
      <c r="G88" s="75"/>
      <c r="H88" s="75"/>
    </row>
    <row r="89" customFormat="false" ht="15" hidden="false" customHeight="false" outlineLevel="0" collapsed="false">
      <c r="A89" s="75" t="s">
        <v>281</v>
      </c>
      <c r="B89" s="75"/>
      <c r="C89" s="75"/>
      <c r="D89" s="75"/>
      <c r="E89" s="75"/>
      <c r="F89" s="75"/>
      <c r="G89" s="75"/>
      <c r="H89" s="75"/>
    </row>
    <row r="90" customFormat="false" ht="15" hidden="false" customHeight="false" outlineLevel="0" collapsed="false">
      <c r="A90" s="75" t="s">
        <v>282</v>
      </c>
      <c r="B90" s="75"/>
      <c r="C90" s="75"/>
      <c r="D90" s="75"/>
      <c r="E90" s="75"/>
      <c r="F90" s="75"/>
      <c r="G90" s="75"/>
      <c r="H90" s="75"/>
    </row>
    <row r="91" customFormat="false" ht="15" hidden="false" customHeight="false" outlineLevel="0" collapsed="false">
      <c r="A91" s="75" t="s">
        <v>283</v>
      </c>
      <c r="B91" s="75"/>
      <c r="C91" s="75"/>
      <c r="D91" s="75"/>
      <c r="E91" s="75"/>
      <c r="F91" s="75"/>
      <c r="G91" s="75"/>
      <c r="H91" s="75"/>
    </row>
    <row r="92" customFormat="false" ht="15" hidden="false" customHeight="false" outlineLevel="0" collapsed="false">
      <c r="A92" s="75" t="s">
        <v>252</v>
      </c>
      <c r="B92" s="75"/>
      <c r="C92" s="75"/>
      <c r="D92" s="75"/>
      <c r="E92" s="75"/>
      <c r="F92" s="75"/>
      <c r="G92" s="75"/>
      <c r="H92" s="75"/>
    </row>
    <row r="93" customFormat="false" ht="15" hidden="false" customHeight="false" outlineLevel="0" collapsed="false">
      <c r="A93" s="75" t="s">
        <v>284</v>
      </c>
      <c r="B93" s="75"/>
      <c r="C93" s="75"/>
      <c r="D93" s="75"/>
      <c r="E93" s="75"/>
      <c r="F93" s="75"/>
      <c r="G93" s="75"/>
      <c r="H93" s="75"/>
    </row>
    <row r="94" customFormat="false" ht="15" hidden="false" customHeight="false" outlineLevel="0" collapsed="false">
      <c r="A94" s="75" t="s">
        <v>221</v>
      </c>
      <c r="B94" s="75"/>
      <c r="C94" s="75"/>
      <c r="D94" s="75"/>
      <c r="E94" s="75"/>
      <c r="F94" s="75"/>
      <c r="G94" s="75"/>
      <c r="H94" s="75"/>
    </row>
    <row r="95" customFormat="false" ht="15" hidden="false" customHeight="false" outlineLevel="0" collapsed="false">
      <c r="A95" s="75" t="s">
        <v>285</v>
      </c>
      <c r="B95" s="75"/>
      <c r="C95" s="75"/>
      <c r="D95" s="75"/>
      <c r="E95" s="75"/>
      <c r="F95" s="75"/>
      <c r="G95" s="75"/>
      <c r="H95" s="75"/>
    </row>
    <row r="96" customFormat="false" ht="15" hidden="false" customHeight="false" outlineLevel="0" collapsed="false">
      <c r="A96" s="75" t="s">
        <v>286</v>
      </c>
      <c r="B96" s="75"/>
      <c r="C96" s="75"/>
      <c r="D96" s="75"/>
      <c r="E96" s="75"/>
      <c r="F96" s="75"/>
      <c r="G96" s="75"/>
      <c r="H96" s="75"/>
    </row>
    <row r="97" customFormat="false" ht="15" hidden="false" customHeight="false" outlineLevel="0" collapsed="false">
      <c r="A97" s="75" t="s">
        <v>287</v>
      </c>
      <c r="B97" s="75"/>
      <c r="C97" s="75"/>
      <c r="D97" s="75"/>
      <c r="E97" s="75"/>
      <c r="F97" s="75"/>
      <c r="G97" s="75"/>
      <c r="H97" s="75"/>
    </row>
    <row r="98" customFormat="false" ht="15" hidden="false" customHeight="false" outlineLevel="0" collapsed="false">
      <c r="A98" s="75" t="s">
        <v>288</v>
      </c>
      <c r="B98" s="75"/>
      <c r="C98" s="75"/>
      <c r="D98" s="75"/>
      <c r="E98" s="75"/>
      <c r="F98" s="75"/>
      <c r="G98" s="75"/>
      <c r="H98" s="75"/>
    </row>
    <row r="99" customFormat="false" ht="15" hidden="false" customHeight="false" outlineLevel="0" collapsed="false">
      <c r="A99" s="75" t="s">
        <v>289</v>
      </c>
      <c r="B99" s="75"/>
      <c r="C99" s="75"/>
      <c r="D99" s="75"/>
      <c r="E99" s="75"/>
      <c r="F99" s="75"/>
      <c r="G99" s="75"/>
      <c r="H99" s="75"/>
    </row>
    <row r="100" customFormat="false" ht="15" hidden="false" customHeight="false" outlineLevel="0" collapsed="false">
      <c r="A100" s="75" t="s">
        <v>290</v>
      </c>
      <c r="B100" s="75"/>
      <c r="C100" s="75"/>
      <c r="D100" s="75"/>
      <c r="E100" s="75"/>
      <c r="F100" s="75"/>
      <c r="G100" s="75"/>
      <c r="H100" s="75"/>
    </row>
    <row r="101" customFormat="false" ht="15" hidden="false" customHeight="false" outlineLevel="0" collapsed="false">
      <c r="A101" s="75" t="s">
        <v>291</v>
      </c>
      <c r="B101" s="75"/>
      <c r="C101" s="75"/>
      <c r="D101" s="75"/>
      <c r="E101" s="75"/>
      <c r="F101" s="75"/>
      <c r="G101" s="75"/>
      <c r="H101" s="75"/>
    </row>
    <row r="102" customFormat="false" ht="15" hidden="false" customHeight="false" outlineLevel="0" collapsed="false">
      <c r="A102" s="75" t="s">
        <v>292</v>
      </c>
      <c r="B102" s="75"/>
      <c r="C102" s="75"/>
      <c r="D102" s="75"/>
      <c r="E102" s="75"/>
      <c r="F102" s="75"/>
      <c r="G102" s="75"/>
      <c r="H102" s="75"/>
    </row>
    <row r="103" customFormat="false" ht="15" hidden="false" customHeight="false" outlineLevel="0" collapsed="false">
      <c r="A103" s="75" t="s">
        <v>293</v>
      </c>
      <c r="B103" s="75"/>
      <c r="C103" s="75"/>
      <c r="D103" s="75"/>
      <c r="E103" s="75"/>
      <c r="F103" s="75"/>
      <c r="G103" s="75"/>
      <c r="H103" s="75"/>
    </row>
    <row r="104" customFormat="false" ht="15" hidden="false" customHeight="false" outlineLevel="0" collapsed="false">
      <c r="A104" s="75" t="s">
        <v>294</v>
      </c>
      <c r="B104" s="75"/>
      <c r="C104" s="75"/>
      <c r="D104" s="75"/>
      <c r="E104" s="75"/>
      <c r="F104" s="75"/>
      <c r="G104" s="75"/>
      <c r="H104" s="75"/>
    </row>
    <row r="105" customFormat="false" ht="15" hidden="false" customHeight="false" outlineLevel="0" collapsed="false">
      <c r="A105" s="75" t="s">
        <v>221</v>
      </c>
      <c r="B105" s="75"/>
      <c r="C105" s="75"/>
      <c r="D105" s="75"/>
      <c r="E105" s="75"/>
      <c r="F105" s="75"/>
      <c r="G105" s="75"/>
      <c r="H105" s="75"/>
    </row>
    <row r="106" customFormat="false" ht="15" hidden="false" customHeight="false" outlineLevel="0" collapsed="false">
      <c r="A106" s="75" t="s">
        <v>295</v>
      </c>
      <c r="B106" s="75"/>
      <c r="C106" s="75"/>
      <c r="D106" s="75"/>
      <c r="E106" s="75"/>
      <c r="F106" s="75"/>
      <c r="G106" s="75"/>
      <c r="H106" s="75"/>
    </row>
    <row r="107" customFormat="false" ht="15" hidden="false" customHeight="false" outlineLevel="0" collapsed="false">
      <c r="A107" s="75" t="s">
        <v>296</v>
      </c>
      <c r="B107" s="75"/>
      <c r="C107" s="75"/>
      <c r="D107" s="75"/>
      <c r="E107" s="75"/>
      <c r="F107" s="75"/>
      <c r="G107" s="75"/>
      <c r="H107" s="75"/>
    </row>
    <row r="108" customFormat="false" ht="15" hidden="false" customHeight="false" outlineLevel="0" collapsed="false">
      <c r="A108" s="75" t="s">
        <v>265</v>
      </c>
      <c r="B108" s="75"/>
      <c r="C108" s="75"/>
      <c r="D108" s="75"/>
      <c r="E108" s="75"/>
      <c r="F108" s="75"/>
      <c r="G108" s="75"/>
      <c r="H108" s="75"/>
    </row>
    <row r="109" customFormat="false" ht="15" hidden="false" customHeight="false" outlineLevel="0" collapsed="false">
      <c r="A109" s="75" t="s">
        <v>297</v>
      </c>
      <c r="B109" s="75"/>
      <c r="C109" s="75"/>
      <c r="D109" s="75"/>
      <c r="E109" s="75"/>
      <c r="F109" s="75"/>
      <c r="G109" s="75"/>
      <c r="H109" s="75"/>
    </row>
    <row r="110" customFormat="false" ht="15" hidden="false" customHeight="false" outlineLevel="0" collapsed="false">
      <c r="A110" s="75" t="s">
        <v>267</v>
      </c>
      <c r="B110" s="75"/>
      <c r="C110" s="75"/>
      <c r="D110" s="75"/>
      <c r="E110" s="75"/>
      <c r="F110" s="75"/>
      <c r="G110" s="75"/>
      <c r="H110" s="75"/>
    </row>
    <row r="111" customFormat="false" ht="15" hidden="false" customHeight="false" outlineLevel="0" collapsed="false">
      <c r="A111" s="75" t="s">
        <v>298</v>
      </c>
      <c r="B111" s="75"/>
      <c r="C111" s="75"/>
      <c r="D111" s="75"/>
      <c r="E111" s="75"/>
      <c r="F111" s="75"/>
      <c r="G111" s="75"/>
      <c r="H111" s="75"/>
    </row>
    <row r="112" customFormat="false" ht="15" hidden="false" customHeight="false" outlineLevel="0" collapsed="false">
      <c r="A112" s="75" t="s">
        <v>299</v>
      </c>
      <c r="B112" s="75"/>
      <c r="C112" s="75"/>
      <c r="D112" s="75"/>
      <c r="E112" s="75"/>
      <c r="F112" s="75"/>
      <c r="G112" s="75"/>
      <c r="H112" s="75"/>
    </row>
    <row r="113" customFormat="false" ht="15" hidden="false" customHeight="false" outlineLevel="0" collapsed="false">
      <c r="A113" s="75" t="s">
        <v>300</v>
      </c>
      <c r="B113" s="75"/>
      <c r="C113" s="75"/>
      <c r="D113" s="75"/>
      <c r="E113" s="75"/>
      <c r="F113" s="75"/>
      <c r="G113" s="75"/>
      <c r="H113" s="75"/>
    </row>
    <row r="114" customFormat="false" ht="15" hidden="false" customHeight="false" outlineLevel="0" collapsed="false">
      <c r="A114" s="75" t="s">
        <v>301</v>
      </c>
      <c r="B114" s="75"/>
      <c r="C114" s="75"/>
      <c r="D114" s="75"/>
      <c r="E114" s="75"/>
      <c r="F114" s="75"/>
      <c r="G114" s="75"/>
      <c r="H114" s="75"/>
    </row>
    <row r="115" customFormat="false" ht="15" hidden="false" customHeight="false" outlineLevel="0" collapsed="false">
      <c r="A115" s="75" t="s">
        <v>265</v>
      </c>
      <c r="B115" s="75"/>
      <c r="C115" s="75"/>
      <c r="D115" s="75"/>
      <c r="E115" s="75"/>
      <c r="F115" s="75"/>
      <c r="G115" s="75"/>
      <c r="H115" s="75"/>
    </row>
    <row r="116" customFormat="false" ht="15" hidden="false" customHeight="false" outlineLevel="0" collapsed="false">
      <c r="A116" s="75" t="s">
        <v>302</v>
      </c>
      <c r="B116" s="75"/>
      <c r="C116" s="75"/>
      <c r="D116" s="75"/>
      <c r="E116" s="75"/>
      <c r="F116" s="75"/>
      <c r="G116" s="75"/>
      <c r="H116" s="75"/>
    </row>
    <row r="117" customFormat="false" ht="15" hidden="false" customHeight="false" outlineLevel="0" collapsed="false">
      <c r="A117" s="75" t="s">
        <v>303</v>
      </c>
      <c r="B117" s="75"/>
      <c r="C117" s="75"/>
      <c r="D117" s="75"/>
      <c r="E117" s="75"/>
      <c r="F117" s="75"/>
      <c r="G117" s="75"/>
      <c r="H117" s="75"/>
    </row>
    <row r="118" customFormat="false" ht="15" hidden="false" customHeight="false" outlineLevel="0" collapsed="false">
      <c r="A118" s="75" t="s">
        <v>304</v>
      </c>
      <c r="B118" s="75"/>
      <c r="C118" s="75"/>
      <c r="D118" s="75"/>
      <c r="E118" s="75"/>
      <c r="F118" s="75"/>
      <c r="G118" s="75"/>
      <c r="H118" s="75"/>
    </row>
    <row r="119" customFormat="false" ht="15" hidden="false" customHeight="false" outlineLevel="0" collapsed="false">
      <c r="A119" s="75" t="s">
        <v>305</v>
      </c>
      <c r="B119" s="75"/>
      <c r="C119" s="75"/>
      <c r="D119" s="75"/>
      <c r="E119" s="75"/>
      <c r="F119" s="75"/>
      <c r="G119" s="75"/>
      <c r="H119" s="75"/>
    </row>
    <row r="120" customFormat="false" ht="15" hidden="false" customHeight="false" outlineLevel="0" collapsed="false">
      <c r="A120" s="75" t="s">
        <v>306</v>
      </c>
      <c r="B120" s="75"/>
      <c r="C120" s="75"/>
      <c r="D120" s="75"/>
      <c r="E120" s="75"/>
      <c r="F120" s="75"/>
      <c r="G120" s="75"/>
      <c r="H120" s="75"/>
    </row>
    <row r="121" customFormat="false" ht="15" hidden="false" customHeight="false" outlineLevel="0" collapsed="false">
      <c r="A121" s="75" t="s">
        <v>307</v>
      </c>
      <c r="B121" s="75"/>
      <c r="C121" s="75"/>
      <c r="D121" s="75"/>
      <c r="E121" s="75"/>
      <c r="F121" s="75"/>
      <c r="G121" s="75"/>
      <c r="H121" s="75"/>
    </row>
    <row r="122" customFormat="false" ht="15" hidden="false" customHeight="false" outlineLevel="0" collapsed="false">
      <c r="A122" s="75" t="s">
        <v>308</v>
      </c>
      <c r="B122" s="75"/>
      <c r="C122" s="75"/>
      <c r="D122" s="75"/>
      <c r="E122" s="75"/>
      <c r="F122" s="75"/>
      <c r="G122" s="75"/>
      <c r="H122" s="75"/>
    </row>
    <row r="123" customFormat="false" ht="15" hidden="false" customHeight="false" outlineLevel="0" collapsed="false">
      <c r="A123" s="75" t="s">
        <v>309</v>
      </c>
      <c r="B123" s="75"/>
      <c r="C123" s="75"/>
      <c r="D123" s="75"/>
      <c r="E123" s="75"/>
      <c r="F123" s="75"/>
      <c r="G123" s="75"/>
      <c r="H123" s="75"/>
    </row>
    <row r="124" customFormat="false" ht="15" hidden="false" customHeight="false" outlineLevel="0" collapsed="false">
      <c r="A124" s="75" t="s">
        <v>310</v>
      </c>
      <c r="B124" s="75"/>
      <c r="C124" s="75"/>
      <c r="D124" s="75"/>
      <c r="E124" s="75"/>
      <c r="F124" s="75"/>
      <c r="G124" s="75"/>
      <c r="H124" s="75"/>
    </row>
    <row r="125" customFormat="false" ht="15" hidden="false" customHeight="false" outlineLevel="0" collapsed="false">
      <c r="A125" s="75" t="s">
        <v>311</v>
      </c>
      <c r="B125" s="75"/>
      <c r="C125" s="75"/>
      <c r="D125" s="75"/>
      <c r="E125" s="75"/>
      <c r="F125" s="75"/>
      <c r="G125" s="75"/>
      <c r="H125" s="75"/>
    </row>
    <row r="126" customFormat="false" ht="15" hidden="false" customHeight="false" outlineLevel="0" collapsed="false">
      <c r="A126" s="75" t="s">
        <v>312</v>
      </c>
      <c r="B126" s="75"/>
      <c r="C126" s="75"/>
      <c r="D126" s="75"/>
      <c r="E126" s="75"/>
      <c r="F126" s="75"/>
      <c r="G126" s="75"/>
      <c r="H126" s="75"/>
    </row>
    <row r="127" customFormat="false" ht="15" hidden="false" customHeight="false" outlineLevel="0" collapsed="false">
      <c r="A127" s="75" t="s">
        <v>313</v>
      </c>
      <c r="B127" s="75"/>
      <c r="C127" s="75"/>
      <c r="D127" s="75"/>
      <c r="E127" s="75"/>
      <c r="F127" s="75"/>
      <c r="G127" s="75"/>
      <c r="H127" s="75"/>
    </row>
    <row r="128" customFormat="false" ht="15" hidden="false" customHeight="false" outlineLevel="0" collapsed="false">
      <c r="A128" s="75" t="s">
        <v>267</v>
      </c>
      <c r="B128" s="75"/>
      <c r="C128" s="75"/>
      <c r="D128" s="75"/>
      <c r="E128" s="75"/>
      <c r="F128" s="75"/>
      <c r="G128" s="75"/>
      <c r="H128" s="75"/>
    </row>
    <row r="129" customFormat="false" ht="15" hidden="false" customHeight="false" outlineLevel="0" collapsed="false">
      <c r="A129" s="75" t="s">
        <v>221</v>
      </c>
      <c r="B129" s="75"/>
      <c r="C129" s="75"/>
      <c r="D129" s="75"/>
      <c r="E129" s="75"/>
      <c r="F129" s="75"/>
      <c r="G129" s="75"/>
      <c r="H129" s="75"/>
    </row>
    <row r="130" customFormat="false" ht="15" hidden="false" customHeight="false" outlineLevel="0" collapsed="false">
      <c r="A130" s="75" t="s">
        <v>314</v>
      </c>
      <c r="B130" s="75"/>
      <c r="C130" s="75"/>
      <c r="D130" s="75"/>
      <c r="E130" s="75"/>
      <c r="F130" s="75"/>
      <c r="G130" s="75"/>
      <c r="H130" s="75"/>
    </row>
    <row r="131" customFormat="false" ht="15" hidden="false" customHeight="false" outlineLevel="0" collapsed="false">
      <c r="A131" s="75" t="s">
        <v>315</v>
      </c>
      <c r="B131" s="75"/>
      <c r="C131" s="75"/>
      <c r="D131" s="75"/>
      <c r="E131" s="75"/>
      <c r="F131" s="75"/>
      <c r="G131" s="75"/>
      <c r="H131" s="75"/>
    </row>
    <row r="132" customFormat="false" ht="15" hidden="false" customHeight="false" outlineLevel="0" collapsed="false">
      <c r="A132" s="75" t="s">
        <v>316</v>
      </c>
      <c r="B132" s="75"/>
      <c r="C132" s="75"/>
      <c r="D132" s="75"/>
      <c r="E132" s="75"/>
      <c r="F132" s="75"/>
      <c r="G132" s="75"/>
      <c r="H132" s="75"/>
    </row>
    <row r="133" customFormat="false" ht="15" hidden="false" customHeight="false" outlineLevel="0" collapsed="false">
      <c r="A133" s="75" t="s">
        <v>317</v>
      </c>
      <c r="B133" s="75"/>
      <c r="C133" s="75"/>
      <c r="D133" s="75"/>
      <c r="E133" s="75"/>
      <c r="F133" s="75"/>
      <c r="G133" s="75"/>
      <c r="H133" s="75"/>
    </row>
    <row r="134" customFormat="false" ht="15" hidden="false" customHeight="false" outlineLevel="0" collapsed="false">
      <c r="A134" s="75" t="s">
        <v>318</v>
      </c>
      <c r="B134" s="75"/>
      <c r="C134" s="75"/>
      <c r="D134" s="75"/>
      <c r="E134" s="75"/>
      <c r="F134" s="75"/>
      <c r="G134" s="75"/>
      <c r="H134" s="75"/>
    </row>
    <row r="135" customFormat="false" ht="15" hidden="false" customHeight="false" outlineLevel="0" collapsed="false">
      <c r="A135" s="75" t="s">
        <v>319</v>
      </c>
      <c r="B135" s="75"/>
      <c r="C135" s="75"/>
      <c r="D135" s="75"/>
      <c r="E135" s="75"/>
      <c r="F135" s="75"/>
      <c r="G135" s="75"/>
      <c r="H135" s="75"/>
    </row>
    <row r="136" customFormat="false" ht="15" hidden="false" customHeight="false" outlineLevel="0" collapsed="false">
      <c r="A136" s="75" t="s">
        <v>320</v>
      </c>
      <c r="B136" s="75"/>
      <c r="C136" s="75"/>
      <c r="D136" s="75"/>
      <c r="E136" s="75"/>
      <c r="F136" s="75"/>
      <c r="G136" s="75"/>
      <c r="H136" s="75"/>
    </row>
    <row r="137" customFormat="false" ht="15" hidden="false" customHeight="false" outlineLevel="0" collapsed="false">
      <c r="A137" s="75" t="s">
        <v>321</v>
      </c>
      <c r="B137" s="75"/>
      <c r="C137" s="75"/>
      <c r="D137" s="75"/>
      <c r="E137" s="75"/>
      <c r="F137" s="75"/>
      <c r="G137" s="75"/>
      <c r="H137" s="75"/>
    </row>
    <row r="138" customFormat="false" ht="15" hidden="false" customHeight="false" outlineLevel="0" collapsed="false">
      <c r="A138" s="75" t="s">
        <v>322</v>
      </c>
      <c r="B138" s="75"/>
      <c r="C138" s="75"/>
      <c r="D138" s="75"/>
      <c r="E138" s="75"/>
      <c r="F138" s="75"/>
      <c r="G138" s="75"/>
      <c r="H138" s="75"/>
    </row>
    <row r="139" customFormat="false" ht="15" hidden="false" customHeight="false" outlineLevel="0" collapsed="false">
      <c r="A139" s="75" t="s">
        <v>323</v>
      </c>
      <c r="B139" s="75"/>
      <c r="C139" s="75"/>
      <c r="D139" s="75"/>
      <c r="E139" s="75"/>
      <c r="F139" s="75"/>
      <c r="G139" s="75"/>
      <c r="H139" s="75"/>
    </row>
    <row r="140" customFormat="false" ht="15" hidden="false" customHeight="false" outlineLevel="0" collapsed="false">
      <c r="A140" s="75" t="s">
        <v>324</v>
      </c>
      <c r="B140" s="75"/>
      <c r="C140" s="75"/>
      <c r="D140" s="75"/>
      <c r="E140" s="75"/>
      <c r="F140" s="75"/>
      <c r="G140" s="75"/>
      <c r="H140" s="75"/>
    </row>
    <row r="141" customFormat="false" ht="15" hidden="false" customHeight="false" outlineLevel="0" collapsed="false">
      <c r="A141" s="75" t="s">
        <v>325</v>
      </c>
      <c r="B141" s="75"/>
      <c r="C141" s="75"/>
      <c r="D141" s="75"/>
      <c r="E141" s="75"/>
      <c r="F141" s="75"/>
      <c r="G141" s="75"/>
      <c r="H141" s="75"/>
    </row>
    <row r="142" customFormat="false" ht="15" hidden="false" customHeight="false" outlineLevel="0" collapsed="false">
      <c r="A142" s="75" t="s">
        <v>326</v>
      </c>
      <c r="B142" s="75"/>
      <c r="C142" s="75"/>
      <c r="D142" s="75"/>
      <c r="E142" s="75"/>
      <c r="F142" s="75"/>
      <c r="G142" s="75"/>
      <c r="H142" s="75"/>
    </row>
    <row r="143" customFormat="false" ht="15" hidden="false" customHeight="false" outlineLevel="0" collapsed="false">
      <c r="A143" s="75" t="s">
        <v>327</v>
      </c>
      <c r="B143" s="75"/>
      <c r="C143" s="75"/>
      <c r="D143" s="75"/>
      <c r="E143" s="75"/>
      <c r="F143" s="75"/>
      <c r="G143" s="75"/>
      <c r="H143" s="75"/>
    </row>
    <row r="144" customFormat="false" ht="15" hidden="false" customHeight="false" outlineLevel="0" collapsed="false">
      <c r="A144" s="75" t="s">
        <v>309</v>
      </c>
      <c r="B144" s="75"/>
      <c r="C144" s="75"/>
      <c r="D144" s="75"/>
      <c r="E144" s="75"/>
      <c r="F144" s="75"/>
      <c r="G144" s="75"/>
      <c r="H144" s="75"/>
    </row>
    <row r="145" customFormat="false" ht="15" hidden="false" customHeight="false" outlineLevel="0" collapsed="false">
      <c r="A145" s="75" t="s">
        <v>328</v>
      </c>
      <c r="B145" s="75"/>
      <c r="C145" s="75"/>
      <c r="D145" s="75"/>
      <c r="E145" s="75"/>
      <c r="F145" s="75"/>
      <c r="G145" s="75"/>
      <c r="H145" s="75"/>
    </row>
    <row r="146" customFormat="false" ht="15" hidden="false" customHeight="false" outlineLevel="0" collapsed="false">
      <c r="A146" s="75" t="s">
        <v>250</v>
      </c>
      <c r="B146" s="75"/>
      <c r="C146" s="75"/>
      <c r="D146" s="75"/>
      <c r="E146" s="75"/>
      <c r="F146" s="75"/>
      <c r="G146" s="75"/>
      <c r="H146" s="75"/>
    </row>
    <row r="147" customFormat="false" ht="15" hidden="false" customHeight="false" outlineLevel="0" collapsed="false">
      <c r="A147" s="75" t="s">
        <v>329</v>
      </c>
      <c r="B147" s="75"/>
      <c r="C147" s="75"/>
      <c r="D147" s="75"/>
      <c r="E147" s="75"/>
      <c r="F147" s="75"/>
      <c r="G147" s="75"/>
      <c r="H147" s="75"/>
    </row>
    <row r="148" customFormat="false" ht="15" hidden="false" customHeight="false" outlineLevel="0" collapsed="false">
      <c r="A148" s="75" t="s">
        <v>252</v>
      </c>
      <c r="B148" s="75"/>
      <c r="C148" s="75"/>
      <c r="D148" s="75"/>
      <c r="E148" s="75"/>
      <c r="F148" s="75"/>
      <c r="G148" s="75"/>
      <c r="H148" s="75"/>
    </row>
    <row r="149" customFormat="false" ht="15" hidden="false" customHeight="false" outlineLevel="0" collapsed="false">
      <c r="A149" s="75" t="s">
        <v>330</v>
      </c>
      <c r="B149" s="75"/>
      <c r="C149" s="75"/>
      <c r="D149" s="75"/>
      <c r="E149" s="75"/>
      <c r="F149" s="75"/>
      <c r="G149" s="75"/>
      <c r="H149" s="75"/>
    </row>
    <row r="150" customFormat="false" ht="15" hidden="false" customHeight="false" outlineLevel="0" collapsed="false">
      <c r="A150" s="75" t="s">
        <v>331</v>
      </c>
      <c r="B150" s="75"/>
      <c r="C150" s="75"/>
      <c r="D150" s="75"/>
      <c r="E150" s="75"/>
      <c r="F150" s="75"/>
      <c r="G150" s="75"/>
      <c r="H150" s="75"/>
    </row>
    <row r="151" customFormat="false" ht="15" hidden="false" customHeight="false" outlineLevel="0" collapsed="false">
      <c r="A151" s="75" t="s">
        <v>221</v>
      </c>
      <c r="B151" s="75"/>
      <c r="C151" s="75"/>
      <c r="D151" s="75"/>
      <c r="E151" s="75"/>
      <c r="F151" s="75"/>
      <c r="G151" s="75"/>
      <c r="H151" s="75"/>
    </row>
    <row r="152" customFormat="false" ht="15" hidden="false" customHeight="false" outlineLevel="0" collapsed="false">
      <c r="A152" s="75" t="s">
        <v>332</v>
      </c>
      <c r="B152" s="75"/>
      <c r="C152" s="75"/>
      <c r="D152" s="75"/>
      <c r="E152" s="75"/>
      <c r="F152" s="75"/>
      <c r="G152" s="75"/>
      <c r="H152" s="75"/>
    </row>
    <row r="153" customFormat="false" ht="15" hidden="false" customHeight="false" outlineLevel="0" collapsed="false">
      <c r="A153" s="75" t="s">
        <v>333</v>
      </c>
      <c r="B153" s="75"/>
      <c r="C153" s="75"/>
      <c r="D153" s="75"/>
      <c r="E153" s="75"/>
      <c r="F153" s="75"/>
      <c r="G153" s="75"/>
      <c r="H153" s="75"/>
    </row>
    <row r="154" customFormat="false" ht="15" hidden="false" customHeight="false" outlineLevel="0" collapsed="false">
      <c r="A154" s="75" t="s">
        <v>334</v>
      </c>
      <c r="B154" s="75"/>
      <c r="C154" s="75"/>
      <c r="D154" s="75"/>
      <c r="E154" s="75"/>
      <c r="F154" s="75"/>
      <c r="G154" s="75"/>
      <c r="H154" s="75"/>
    </row>
    <row r="155" customFormat="false" ht="15" hidden="false" customHeight="false" outlineLevel="0" collapsed="false">
      <c r="A155" s="75" t="s">
        <v>335</v>
      </c>
      <c r="B155" s="75"/>
      <c r="C155" s="75"/>
      <c r="D155" s="75"/>
      <c r="E155" s="75"/>
      <c r="F155" s="75"/>
      <c r="G155" s="75"/>
      <c r="H155" s="75"/>
    </row>
    <row r="156" customFormat="false" ht="15" hidden="false" customHeight="false" outlineLevel="0" collapsed="false">
      <c r="A156" s="75" t="s">
        <v>336</v>
      </c>
      <c r="B156" s="75"/>
      <c r="C156" s="75"/>
      <c r="D156" s="75"/>
      <c r="E156" s="75"/>
      <c r="F156" s="75"/>
      <c r="G156" s="75"/>
      <c r="H156" s="75"/>
    </row>
    <row r="157" customFormat="false" ht="15" hidden="false" customHeight="false" outlineLevel="0" collapsed="false">
      <c r="A157" s="75" t="s">
        <v>337</v>
      </c>
      <c r="B157" s="75"/>
      <c r="C157" s="75"/>
      <c r="D157" s="75"/>
      <c r="E157" s="75"/>
      <c r="F157" s="75"/>
      <c r="G157" s="75"/>
      <c r="H157" s="75"/>
    </row>
    <row r="158" customFormat="false" ht="15" hidden="false" customHeight="false" outlineLevel="0" collapsed="false">
      <c r="A158" s="75" t="s">
        <v>338</v>
      </c>
      <c r="B158" s="75"/>
      <c r="C158" s="75"/>
      <c r="D158" s="75"/>
      <c r="E158" s="75"/>
      <c r="F158" s="75"/>
      <c r="G158" s="75"/>
      <c r="H158" s="75"/>
    </row>
    <row r="159" customFormat="false" ht="15" hidden="false" customHeight="false" outlineLevel="0" collapsed="false">
      <c r="A159" s="75" t="s">
        <v>339</v>
      </c>
      <c r="B159" s="75"/>
      <c r="C159" s="75"/>
      <c r="D159" s="75"/>
      <c r="E159" s="75"/>
      <c r="F159" s="75"/>
      <c r="G159" s="75"/>
      <c r="H159" s="75"/>
    </row>
    <row r="160" customFormat="false" ht="15" hidden="false" customHeight="false" outlineLevel="0" collapsed="false">
      <c r="A160" s="75" t="s">
        <v>340</v>
      </c>
      <c r="B160" s="75"/>
      <c r="C160" s="75"/>
      <c r="D160" s="75"/>
      <c r="E160" s="75"/>
      <c r="F160" s="75"/>
      <c r="G160" s="75"/>
      <c r="H160" s="75"/>
    </row>
    <row r="161" customFormat="false" ht="15" hidden="false" customHeight="false" outlineLevel="0" collapsed="false">
      <c r="A161" s="75" t="s">
        <v>341</v>
      </c>
      <c r="B161" s="75"/>
      <c r="C161" s="75"/>
      <c r="D161" s="75"/>
      <c r="E161" s="75"/>
      <c r="F161" s="75"/>
      <c r="G161" s="75"/>
      <c r="H161" s="75"/>
    </row>
    <row r="162" customFormat="false" ht="15" hidden="false" customHeight="false" outlineLevel="0" collapsed="false">
      <c r="A162" s="75" t="s">
        <v>342</v>
      </c>
      <c r="B162" s="75"/>
      <c r="C162" s="75"/>
      <c r="D162" s="75"/>
      <c r="E162" s="75"/>
      <c r="F162" s="75"/>
      <c r="G162" s="75"/>
      <c r="H162" s="75"/>
    </row>
    <row r="163" customFormat="false" ht="15" hidden="false" customHeight="false" outlineLevel="0" collapsed="false">
      <c r="A163" s="75" t="s">
        <v>343</v>
      </c>
      <c r="B163" s="75"/>
      <c r="C163" s="75"/>
      <c r="D163" s="75"/>
      <c r="E163" s="75"/>
      <c r="F163" s="75"/>
      <c r="G163" s="75"/>
      <c r="H163" s="75"/>
    </row>
    <row r="164" customFormat="false" ht="15" hidden="false" customHeight="false" outlineLevel="0" collapsed="false">
      <c r="A164" s="75" t="s">
        <v>331</v>
      </c>
      <c r="B164" s="75"/>
      <c r="C164" s="75"/>
      <c r="D164" s="75"/>
      <c r="E164" s="75"/>
      <c r="F164" s="75"/>
      <c r="G164" s="75"/>
      <c r="H164" s="75"/>
    </row>
    <row r="165" customFormat="false" ht="15" hidden="false" customHeight="false" outlineLevel="0" collapsed="false">
      <c r="A165" s="75" t="s">
        <v>221</v>
      </c>
      <c r="B165" s="75"/>
      <c r="C165" s="75"/>
      <c r="D165" s="75"/>
      <c r="E165" s="75"/>
      <c r="F165" s="75"/>
      <c r="G165" s="75"/>
      <c r="H165" s="75"/>
    </row>
    <row r="166" customFormat="false" ht="15" hidden="false" customHeight="false" outlineLevel="0" collapsed="false">
      <c r="A166" s="75" t="s">
        <v>344</v>
      </c>
      <c r="B166" s="75"/>
      <c r="C166" s="75"/>
      <c r="D166" s="75"/>
      <c r="E166" s="75"/>
      <c r="F166" s="75"/>
      <c r="G166" s="75"/>
      <c r="H166" s="75"/>
    </row>
    <row r="167" customFormat="false" ht="15" hidden="false" customHeight="false" outlineLevel="0" collapsed="false">
      <c r="A167" s="75" t="s">
        <v>345</v>
      </c>
      <c r="B167" s="75"/>
      <c r="C167" s="75"/>
      <c r="D167" s="75"/>
      <c r="E167" s="75"/>
      <c r="F167" s="75"/>
      <c r="G167" s="75"/>
      <c r="H167" s="75"/>
    </row>
    <row r="168" customFormat="false" ht="15" hidden="false" customHeight="false" outlineLevel="0" collapsed="false">
      <c r="A168" s="75" t="s">
        <v>346</v>
      </c>
      <c r="B168" s="75"/>
      <c r="C168" s="75"/>
      <c r="D168" s="75"/>
      <c r="E168" s="75"/>
      <c r="F168" s="75"/>
      <c r="G168" s="75"/>
      <c r="H168" s="75"/>
    </row>
    <row r="169" customFormat="false" ht="15" hidden="false" customHeight="false" outlineLevel="0" collapsed="false">
      <c r="A169" s="75" t="s">
        <v>347</v>
      </c>
      <c r="B169" s="75"/>
      <c r="C169" s="75"/>
      <c r="D169" s="75"/>
      <c r="E169" s="75"/>
      <c r="F169" s="75"/>
      <c r="G169" s="75"/>
      <c r="H169" s="75"/>
    </row>
    <row r="170" customFormat="false" ht="15" hidden="false" customHeight="false" outlineLevel="0" collapsed="false">
      <c r="A170" s="75" t="s">
        <v>348</v>
      </c>
      <c r="B170" s="75"/>
      <c r="C170" s="75"/>
      <c r="D170" s="75"/>
      <c r="E170" s="75"/>
      <c r="F170" s="75"/>
      <c r="G170" s="75"/>
      <c r="H170" s="75"/>
    </row>
    <row r="171" customFormat="false" ht="15" hidden="false" customHeight="false" outlineLevel="0" collapsed="false">
      <c r="A171" s="75" t="s">
        <v>349</v>
      </c>
      <c r="B171" s="75"/>
      <c r="C171" s="75"/>
      <c r="D171" s="75"/>
      <c r="E171" s="75"/>
      <c r="F171" s="75"/>
      <c r="G171" s="75"/>
      <c r="H171" s="75"/>
    </row>
    <row r="172" customFormat="false" ht="15" hidden="false" customHeight="false" outlineLevel="0" collapsed="false">
      <c r="A172" s="75" t="s">
        <v>350</v>
      </c>
      <c r="B172" s="75"/>
      <c r="C172" s="75"/>
      <c r="D172" s="75"/>
      <c r="E172" s="75"/>
      <c r="F172" s="75"/>
      <c r="G172" s="75"/>
      <c r="H172" s="75"/>
    </row>
    <row r="173" customFormat="false" ht="15" hidden="false" customHeight="false" outlineLevel="0" collapsed="false">
      <c r="A173" s="75" t="s">
        <v>351</v>
      </c>
      <c r="B173" s="75"/>
      <c r="C173" s="75"/>
      <c r="D173" s="75"/>
      <c r="E173" s="75"/>
      <c r="F173" s="75"/>
      <c r="G173" s="75"/>
      <c r="H173" s="75"/>
    </row>
    <row r="174" customFormat="false" ht="15" hidden="false" customHeight="false" outlineLevel="0" collapsed="false">
      <c r="A174" s="75" t="s">
        <v>221</v>
      </c>
      <c r="B174" s="75"/>
      <c r="C174" s="75"/>
      <c r="D174" s="75"/>
      <c r="E174" s="75"/>
      <c r="F174" s="75"/>
      <c r="G174" s="75"/>
      <c r="H174" s="75"/>
    </row>
    <row r="175" customFormat="false" ht="15" hidden="false" customHeight="false" outlineLevel="0" collapsed="false">
      <c r="A175" s="75" t="s">
        <v>352</v>
      </c>
      <c r="B175" s="75"/>
      <c r="C175" s="75"/>
      <c r="D175" s="75"/>
      <c r="E175" s="75"/>
      <c r="F175" s="75"/>
      <c r="G175" s="75"/>
      <c r="H175" s="75"/>
    </row>
    <row r="176" customFormat="false" ht="15" hidden="false" customHeight="false" outlineLevel="0" collapsed="false">
      <c r="A176" s="75" t="s">
        <v>345</v>
      </c>
      <c r="B176" s="75"/>
      <c r="C176" s="75"/>
      <c r="D176" s="75"/>
      <c r="E176" s="75"/>
      <c r="F176" s="75"/>
      <c r="G176" s="75"/>
      <c r="H176" s="75"/>
    </row>
    <row r="177" customFormat="false" ht="15" hidden="false" customHeight="false" outlineLevel="0" collapsed="false">
      <c r="A177" s="75" t="s">
        <v>353</v>
      </c>
      <c r="B177" s="75"/>
      <c r="C177" s="75"/>
      <c r="D177" s="75"/>
      <c r="E177" s="75"/>
      <c r="F177" s="75"/>
      <c r="G177" s="75"/>
      <c r="H177" s="75"/>
    </row>
    <row r="178" customFormat="false" ht="15" hidden="false" customHeight="false" outlineLevel="0" collapsed="false">
      <c r="A178" s="75" t="s">
        <v>347</v>
      </c>
      <c r="B178" s="75"/>
      <c r="C178" s="75"/>
      <c r="D178" s="75"/>
      <c r="E178" s="75"/>
      <c r="F178" s="75"/>
      <c r="G178" s="75"/>
      <c r="H178" s="75"/>
    </row>
    <row r="179" customFormat="false" ht="15" hidden="false" customHeight="false" outlineLevel="0" collapsed="false">
      <c r="A179" s="75" t="s">
        <v>354</v>
      </c>
      <c r="B179" s="75"/>
      <c r="C179" s="75"/>
      <c r="D179" s="75"/>
      <c r="E179" s="75"/>
      <c r="F179" s="75"/>
      <c r="G179" s="75"/>
      <c r="H179" s="75"/>
    </row>
    <row r="180" customFormat="false" ht="15" hidden="false" customHeight="false" outlineLevel="0" collapsed="false">
      <c r="A180" s="75" t="s">
        <v>355</v>
      </c>
      <c r="B180" s="75"/>
      <c r="C180" s="75"/>
      <c r="D180" s="75"/>
      <c r="E180" s="75"/>
      <c r="F180" s="75"/>
      <c r="G180" s="75"/>
      <c r="H180" s="75"/>
    </row>
    <row r="181" customFormat="false" ht="15" hidden="false" customHeight="false" outlineLevel="0" collapsed="false">
      <c r="A181" s="75" t="s">
        <v>251</v>
      </c>
      <c r="B181" s="75"/>
      <c r="C181" s="75"/>
      <c r="D181" s="75"/>
      <c r="E181" s="75"/>
      <c r="F181" s="75"/>
      <c r="G181" s="75"/>
      <c r="H181" s="75"/>
    </row>
    <row r="182" customFormat="false" ht="15" hidden="false" customHeight="false" outlineLevel="0" collapsed="false">
      <c r="A182" s="75" t="s">
        <v>349</v>
      </c>
      <c r="B182" s="75"/>
      <c r="C182" s="75"/>
      <c r="D182" s="75"/>
      <c r="E182" s="75"/>
      <c r="F182" s="75"/>
      <c r="G182" s="75"/>
      <c r="H182" s="75"/>
    </row>
    <row r="183" customFormat="false" ht="15" hidden="false" customHeight="false" outlineLevel="0" collapsed="false">
      <c r="A183" s="75" t="s">
        <v>356</v>
      </c>
      <c r="B183" s="75"/>
      <c r="C183" s="75"/>
      <c r="D183" s="75"/>
      <c r="E183" s="75"/>
      <c r="F183" s="75"/>
      <c r="G183" s="75"/>
      <c r="H183" s="75"/>
    </row>
    <row r="184" customFormat="false" ht="15" hidden="false" customHeight="false" outlineLevel="0" collapsed="false">
      <c r="A184" s="75" t="s">
        <v>351</v>
      </c>
      <c r="B184" s="75"/>
      <c r="C184" s="75"/>
      <c r="D184" s="75"/>
      <c r="E184" s="75"/>
      <c r="F184" s="75"/>
      <c r="G184" s="75"/>
      <c r="H184" s="75"/>
    </row>
    <row r="185" customFormat="false" ht="15" hidden="false" customHeight="false" outlineLevel="0" collapsed="false">
      <c r="A185" s="75" t="s">
        <v>221</v>
      </c>
      <c r="B185" s="75"/>
      <c r="C185" s="75"/>
      <c r="D185" s="75"/>
      <c r="E185" s="75"/>
      <c r="F185" s="75"/>
      <c r="G185" s="75"/>
      <c r="H185" s="75"/>
    </row>
    <row r="186" customFormat="false" ht="15" hidden="false" customHeight="false" outlineLevel="0" collapsed="false">
      <c r="A186" s="75" t="s">
        <v>357</v>
      </c>
      <c r="B186" s="75"/>
      <c r="C186" s="75"/>
      <c r="D186" s="75"/>
      <c r="E186" s="75"/>
      <c r="F186" s="75"/>
      <c r="G186" s="75"/>
      <c r="H186" s="75"/>
    </row>
    <row r="187" customFormat="false" ht="15" hidden="false" customHeight="false" outlineLevel="0" collapsed="false">
      <c r="A187" s="75" t="s">
        <v>358</v>
      </c>
      <c r="B187" s="75"/>
      <c r="C187" s="75"/>
      <c r="D187" s="75"/>
      <c r="E187" s="75"/>
      <c r="F187" s="75"/>
      <c r="G187" s="75"/>
      <c r="H187" s="75"/>
    </row>
    <row r="188" customFormat="false" ht="15" hidden="false" customHeight="false" outlineLevel="0" collapsed="false">
      <c r="A188" s="75" t="s">
        <v>359</v>
      </c>
      <c r="B188" s="75"/>
      <c r="C188" s="75"/>
      <c r="D188" s="75"/>
      <c r="E188" s="75"/>
      <c r="F188" s="75"/>
      <c r="G188" s="75"/>
      <c r="H188" s="75"/>
    </row>
    <row r="189" customFormat="false" ht="15" hidden="false" customHeight="false" outlineLevel="0" collapsed="false">
      <c r="A189" s="75" t="s">
        <v>360</v>
      </c>
      <c r="B189" s="75"/>
      <c r="C189" s="75"/>
      <c r="D189" s="75"/>
      <c r="E189" s="75"/>
      <c r="F189" s="75"/>
      <c r="G189" s="75"/>
      <c r="H189" s="75"/>
    </row>
    <row r="190" customFormat="false" ht="15" hidden="false" customHeight="false" outlineLevel="0" collapsed="false">
      <c r="A190" s="75" t="s">
        <v>361</v>
      </c>
      <c r="B190" s="75"/>
      <c r="C190" s="75"/>
      <c r="D190" s="75"/>
      <c r="E190" s="75"/>
      <c r="F190" s="75"/>
      <c r="G190" s="75"/>
      <c r="H190" s="75"/>
    </row>
    <row r="191" customFormat="false" ht="15" hidden="false" customHeight="false" outlineLevel="0" collapsed="false">
      <c r="A191" s="75" t="s">
        <v>362</v>
      </c>
      <c r="B191" s="75"/>
      <c r="C191" s="75"/>
      <c r="D191" s="75"/>
      <c r="E191" s="75"/>
      <c r="F191" s="75"/>
      <c r="G191" s="75"/>
      <c r="H191" s="75"/>
    </row>
    <row r="192" customFormat="false" ht="15" hidden="false" customHeight="false" outlineLevel="0" collapsed="false">
      <c r="A192" s="75" t="s">
        <v>363</v>
      </c>
      <c r="B192" s="75"/>
      <c r="C192" s="75"/>
      <c r="D192" s="75"/>
      <c r="E192" s="75"/>
      <c r="F192" s="75"/>
      <c r="G192" s="75"/>
      <c r="H192" s="75"/>
    </row>
    <row r="193" customFormat="false" ht="15" hidden="false" customHeight="false" outlineLevel="0" collapsed="false">
      <c r="A193" s="75" t="s">
        <v>364</v>
      </c>
      <c r="B193" s="75"/>
      <c r="C193" s="75"/>
      <c r="D193" s="75"/>
      <c r="E193" s="75"/>
      <c r="F193" s="75"/>
      <c r="G193" s="75"/>
      <c r="H193" s="75"/>
    </row>
    <row r="194" customFormat="false" ht="15" hidden="false" customHeight="false" outlineLevel="0" collapsed="false">
      <c r="A194" s="75" t="s">
        <v>365</v>
      </c>
      <c r="B194" s="75"/>
      <c r="C194" s="75"/>
      <c r="D194" s="75"/>
      <c r="E194" s="75"/>
      <c r="F194" s="75"/>
      <c r="G194" s="75"/>
      <c r="H194" s="75"/>
    </row>
    <row r="195" customFormat="false" ht="15" hidden="false" customHeight="false" outlineLevel="0" collapsed="false">
      <c r="A195" s="75" t="s">
        <v>366</v>
      </c>
      <c r="B195" s="75"/>
      <c r="C195" s="75"/>
      <c r="D195" s="75"/>
      <c r="E195" s="75"/>
      <c r="F195" s="75"/>
      <c r="G195" s="75"/>
      <c r="H195" s="75"/>
    </row>
    <row r="196" customFormat="false" ht="15" hidden="false" customHeight="false" outlineLevel="0" collapsed="false">
      <c r="A196" s="75" t="s">
        <v>367</v>
      </c>
      <c r="B196" s="75"/>
      <c r="C196" s="75"/>
      <c r="D196" s="75"/>
      <c r="E196" s="75"/>
      <c r="F196" s="75"/>
      <c r="G196" s="75"/>
      <c r="H196" s="75"/>
    </row>
    <row r="197" customFormat="false" ht="15" hidden="false" customHeight="false" outlineLevel="0" collapsed="false">
      <c r="A197" s="75" t="s">
        <v>273</v>
      </c>
      <c r="B197" s="75"/>
      <c r="C197" s="75"/>
      <c r="D197" s="75"/>
      <c r="E197" s="75"/>
      <c r="F197" s="75"/>
      <c r="G197" s="75"/>
      <c r="H197" s="75"/>
    </row>
    <row r="198" customFormat="false" ht="15" hidden="false" customHeight="false" outlineLevel="0" collapsed="false">
      <c r="A198" s="75" t="s">
        <v>368</v>
      </c>
      <c r="B198" s="75"/>
      <c r="C198" s="75"/>
      <c r="D198" s="75"/>
      <c r="E198" s="75"/>
      <c r="F198" s="75"/>
      <c r="G198" s="75"/>
      <c r="H198" s="75"/>
    </row>
    <row r="199" customFormat="false" ht="15" hidden="false" customHeight="false" outlineLevel="0" collapsed="false">
      <c r="A199" s="75" t="s">
        <v>331</v>
      </c>
      <c r="B199" s="75"/>
      <c r="C199" s="75"/>
      <c r="D199" s="75"/>
      <c r="E199" s="75"/>
      <c r="F199" s="75"/>
      <c r="G199" s="75"/>
      <c r="H199" s="75"/>
    </row>
    <row r="200" customFormat="false" ht="15" hidden="false" customHeight="false" outlineLevel="0" collapsed="false">
      <c r="A200" s="75" t="s">
        <v>221</v>
      </c>
      <c r="B200" s="75"/>
      <c r="C200" s="75"/>
      <c r="D200" s="75"/>
      <c r="E200" s="75"/>
      <c r="F200" s="75"/>
      <c r="G200" s="75"/>
      <c r="H200" s="75"/>
    </row>
    <row r="201" customFormat="false" ht="15" hidden="false" customHeight="false" outlineLevel="0" collapsed="false">
      <c r="A201" s="75" t="s">
        <v>369</v>
      </c>
      <c r="B201" s="75"/>
      <c r="C201" s="75"/>
      <c r="D201" s="75"/>
      <c r="E201" s="75"/>
      <c r="F201" s="75"/>
      <c r="G201" s="75"/>
      <c r="H201" s="75"/>
    </row>
    <row r="202" customFormat="false" ht="15" hidden="false" customHeight="false" outlineLevel="0" collapsed="false">
      <c r="A202" s="75" t="s">
        <v>370</v>
      </c>
      <c r="B202" s="75"/>
      <c r="C202" s="75"/>
      <c r="D202" s="75"/>
      <c r="E202" s="75"/>
      <c r="F202" s="75"/>
      <c r="G202" s="75"/>
      <c r="H202" s="75"/>
    </row>
    <row r="203" customFormat="false" ht="15" hidden="false" customHeight="false" outlineLevel="0" collapsed="false">
      <c r="A203" s="75" t="s">
        <v>371</v>
      </c>
      <c r="B203" s="75"/>
      <c r="C203" s="75"/>
      <c r="D203" s="75"/>
      <c r="E203" s="75"/>
      <c r="F203" s="75"/>
      <c r="G203" s="75"/>
      <c r="H203" s="75"/>
    </row>
    <row r="204" customFormat="false" ht="15" hidden="false" customHeight="false" outlineLevel="0" collapsed="false">
      <c r="A204" s="75" t="s">
        <v>372</v>
      </c>
      <c r="B204" s="75"/>
      <c r="C204" s="75"/>
      <c r="D204" s="75"/>
      <c r="E204" s="75"/>
      <c r="F204" s="75"/>
      <c r="G204" s="75"/>
      <c r="H204" s="75"/>
    </row>
    <row r="205" customFormat="false" ht="15" hidden="false" customHeight="false" outlineLevel="0" collapsed="false">
      <c r="A205" s="75" t="s">
        <v>373</v>
      </c>
      <c r="B205" s="75"/>
      <c r="C205" s="75"/>
      <c r="D205" s="75"/>
      <c r="E205" s="75"/>
      <c r="F205" s="75"/>
      <c r="G205" s="75"/>
      <c r="H205" s="75"/>
    </row>
    <row r="206" customFormat="false" ht="15" hidden="false" customHeight="false" outlineLevel="0" collapsed="false">
      <c r="A206" s="75" t="s">
        <v>374</v>
      </c>
      <c r="B206" s="75"/>
      <c r="C206" s="75"/>
      <c r="D206" s="75"/>
      <c r="E206" s="75"/>
      <c r="F206" s="75"/>
      <c r="G206" s="75"/>
      <c r="H206" s="75"/>
    </row>
    <row r="207" customFormat="false" ht="15" hidden="false" customHeight="false" outlineLevel="0" collapsed="false">
      <c r="A207" s="75" t="s">
        <v>351</v>
      </c>
      <c r="B207" s="75"/>
      <c r="C207" s="75"/>
      <c r="D207" s="75"/>
      <c r="E207" s="75"/>
      <c r="F207" s="75"/>
      <c r="G207" s="75"/>
      <c r="H207" s="75"/>
    </row>
    <row r="208" customFormat="false" ht="15" hidden="false" customHeight="false" outlineLevel="0" collapsed="false">
      <c r="A208" s="75" t="s">
        <v>221</v>
      </c>
      <c r="B208" s="75"/>
      <c r="C208" s="75"/>
      <c r="D208" s="75"/>
      <c r="E208" s="75"/>
      <c r="F208" s="75"/>
      <c r="G208" s="75"/>
      <c r="H208" s="75"/>
    </row>
    <row r="209" customFormat="false" ht="15" hidden="false" customHeight="false" outlineLevel="0" collapsed="false">
      <c r="A209" s="75" t="s">
        <v>375</v>
      </c>
      <c r="B209" s="75"/>
      <c r="C209" s="75"/>
      <c r="D209" s="75"/>
      <c r="E209" s="75"/>
      <c r="F209" s="75"/>
      <c r="G209" s="75"/>
      <c r="H209" s="75"/>
    </row>
    <row r="210" customFormat="false" ht="15" hidden="false" customHeight="false" outlineLevel="0" collapsed="false">
      <c r="A210" s="75" t="s">
        <v>376</v>
      </c>
      <c r="B210" s="75"/>
      <c r="C210" s="75"/>
      <c r="D210" s="75"/>
      <c r="E210" s="75"/>
      <c r="F210" s="75"/>
      <c r="G210" s="75"/>
      <c r="H210" s="75"/>
    </row>
    <row r="211" customFormat="false" ht="15" hidden="false" customHeight="false" outlineLevel="0" collapsed="false">
      <c r="A211" s="75" t="s">
        <v>377</v>
      </c>
      <c r="B211" s="75"/>
      <c r="C211" s="75"/>
      <c r="D211" s="75"/>
      <c r="E211" s="75"/>
      <c r="F211" s="75"/>
      <c r="G211" s="75"/>
      <c r="H211" s="75"/>
    </row>
    <row r="212" customFormat="false" ht="15" hidden="false" customHeight="false" outlineLevel="0" collapsed="false">
      <c r="A212" s="75" t="s">
        <v>378</v>
      </c>
      <c r="B212" s="75"/>
      <c r="C212" s="75"/>
      <c r="D212" s="75"/>
      <c r="E212" s="75"/>
      <c r="F212" s="75"/>
      <c r="G212" s="75"/>
      <c r="H212" s="75"/>
    </row>
    <row r="213" customFormat="false" ht="15" hidden="false" customHeight="false" outlineLevel="0" collapsed="false">
      <c r="A213" s="75" t="s">
        <v>379</v>
      </c>
      <c r="B213" s="75"/>
      <c r="C213" s="75"/>
      <c r="D213" s="75"/>
      <c r="E213" s="75"/>
      <c r="F213" s="75"/>
      <c r="G213" s="75"/>
      <c r="H213" s="75"/>
    </row>
    <row r="214" customFormat="false" ht="15" hidden="false" customHeight="false" outlineLevel="0" collapsed="false">
      <c r="A214" s="75" t="s">
        <v>380</v>
      </c>
      <c r="B214" s="75"/>
      <c r="C214" s="75"/>
      <c r="D214" s="75"/>
      <c r="E214" s="75"/>
      <c r="F214" s="75"/>
      <c r="G214" s="75"/>
      <c r="H214" s="75"/>
    </row>
    <row r="215" customFormat="false" ht="15" hidden="false" customHeight="false" outlineLevel="0" collapsed="false">
      <c r="A215" s="75" t="s">
        <v>381</v>
      </c>
      <c r="B215" s="75"/>
      <c r="C215" s="75"/>
      <c r="D215" s="75"/>
      <c r="E215" s="75"/>
      <c r="F215" s="75"/>
      <c r="G215" s="75"/>
      <c r="H215" s="75"/>
    </row>
    <row r="216" customFormat="false" ht="15" hidden="false" customHeight="false" outlineLevel="0" collapsed="false">
      <c r="A216" s="75" t="s">
        <v>382</v>
      </c>
      <c r="B216" s="75"/>
      <c r="C216" s="75"/>
      <c r="D216" s="75"/>
      <c r="E216" s="75"/>
      <c r="F216" s="75"/>
      <c r="G216" s="75"/>
      <c r="H216" s="75"/>
    </row>
    <row r="217" customFormat="false" ht="15" hidden="false" customHeight="false" outlineLevel="0" collapsed="false">
      <c r="A217" s="75" t="s">
        <v>383</v>
      </c>
      <c r="B217" s="75"/>
      <c r="C217" s="75"/>
      <c r="D217" s="75"/>
      <c r="E217" s="75"/>
      <c r="F217" s="75"/>
      <c r="G217" s="75"/>
      <c r="H217" s="75"/>
    </row>
    <row r="218" customFormat="false" ht="15" hidden="false" customHeight="false" outlineLevel="0" collapsed="false">
      <c r="A218" s="75" t="s">
        <v>262</v>
      </c>
      <c r="B218" s="75"/>
      <c r="C218" s="75"/>
      <c r="D218" s="75"/>
      <c r="E218" s="75"/>
      <c r="F218" s="75"/>
      <c r="G218" s="75"/>
      <c r="H218" s="75"/>
    </row>
    <row r="219" customFormat="false" ht="15" hidden="false" customHeight="false" outlineLevel="0" collapsed="false">
      <c r="A219" s="75" t="s">
        <v>384</v>
      </c>
      <c r="B219" s="75"/>
      <c r="C219" s="75"/>
      <c r="D219" s="75"/>
      <c r="E219" s="75"/>
      <c r="F219" s="75"/>
      <c r="G219" s="75"/>
      <c r="H219" s="75"/>
    </row>
    <row r="220" customFormat="false" ht="15" hidden="false" customHeight="false" outlineLevel="0" collapsed="false">
      <c r="A220" s="75" t="s">
        <v>351</v>
      </c>
      <c r="B220" s="75"/>
      <c r="C220" s="75"/>
      <c r="D220" s="75"/>
      <c r="E220" s="75"/>
      <c r="F220" s="75"/>
      <c r="G220" s="75"/>
      <c r="H220" s="75"/>
    </row>
    <row r="221" customFormat="false" ht="15" hidden="false" customHeight="false" outlineLevel="0" collapsed="false">
      <c r="A221" s="75" t="s">
        <v>221</v>
      </c>
      <c r="B221" s="75"/>
      <c r="C221" s="75"/>
      <c r="D221" s="75"/>
      <c r="E221" s="75"/>
      <c r="F221" s="75"/>
      <c r="G221" s="75"/>
      <c r="H221" s="75"/>
    </row>
    <row r="222" customFormat="false" ht="15" hidden="false" customHeight="false" outlineLevel="0" collapsed="false">
      <c r="A222" s="75" t="s">
        <v>385</v>
      </c>
      <c r="B222" s="75"/>
      <c r="C222" s="75"/>
      <c r="D222" s="75"/>
      <c r="E222" s="75"/>
      <c r="F222" s="75"/>
      <c r="G222" s="75"/>
      <c r="H222" s="75"/>
    </row>
    <row r="223" customFormat="false" ht="15" hidden="false" customHeight="false" outlineLevel="0" collapsed="false">
      <c r="A223" s="75" t="s">
        <v>386</v>
      </c>
      <c r="B223" s="75"/>
      <c r="C223" s="75"/>
      <c r="D223" s="75"/>
      <c r="E223" s="75"/>
      <c r="F223" s="75"/>
      <c r="G223" s="75"/>
      <c r="H223" s="75"/>
    </row>
    <row r="224" customFormat="false" ht="15" hidden="false" customHeight="false" outlineLevel="0" collapsed="false">
      <c r="A224" s="75" t="s">
        <v>387</v>
      </c>
      <c r="B224" s="75"/>
      <c r="C224" s="75"/>
      <c r="D224" s="75"/>
      <c r="E224" s="75"/>
      <c r="F224" s="75"/>
      <c r="G224" s="75"/>
      <c r="H224" s="75"/>
    </row>
    <row r="225" customFormat="false" ht="15" hidden="false" customHeight="false" outlineLevel="0" collapsed="false">
      <c r="A225" s="75" t="s">
        <v>388</v>
      </c>
      <c r="B225" s="75"/>
      <c r="C225" s="75"/>
      <c r="D225" s="75"/>
      <c r="E225" s="75"/>
      <c r="F225" s="75"/>
      <c r="G225" s="75"/>
      <c r="H225" s="75"/>
    </row>
    <row r="226" customFormat="false" ht="15" hidden="false" customHeight="false" outlineLevel="0" collapsed="false">
      <c r="A226" s="75" t="s">
        <v>389</v>
      </c>
      <c r="B226" s="75"/>
      <c r="C226" s="75"/>
      <c r="D226" s="75"/>
      <c r="E226" s="75"/>
      <c r="F226" s="75"/>
      <c r="G226" s="75"/>
      <c r="H226" s="75"/>
    </row>
    <row r="227" customFormat="false" ht="15" hidden="false" customHeight="false" outlineLevel="0" collapsed="false">
      <c r="A227" s="75" t="s">
        <v>390</v>
      </c>
      <c r="B227" s="75"/>
      <c r="C227" s="75"/>
      <c r="D227" s="75"/>
      <c r="E227" s="75"/>
      <c r="F227" s="75"/>
      <c r="G227" s="75"/>
      <c r="H227" s="75"/>
    </row>
    <row r="228" customFormat="false" ht="15" hidden="false" customHeight="false" outlineLevel="0" collapsed="false">
      <c r="A228" s="75" t="s">
        <v>391</v>
      </c>
      <c r="B228" s="75"/>
      <c r="C228" s="75"/>
      <c r="D228" s="75"/>
      <c r="E228" s="75"/>
      <c r="F228" s="75"/>
      <c r="G228" s="75"/>
      <c r="H228" s="75"/>
    </row>
    <row r="229" customFormat="false" ht="15" hidden="false" customHeight="false" outlineLevel="0" collapsed="false">
      <c r="A229" s="75" t="s">
        <v>392</v>
      </c>
      <c r="B229" s="75"/>
      <c r="C229" s="75"/>
      <c r="D229" s="75"/>
      <c r="E229" s="75"/>
      <c r="F229" s="75"/>
      <c r="G229" s="75"/>
      <c r="H229" s="75"/>
    </row>
    <row r="230" customFormat="false" ht="15" hidden="false" customHeight="false" outlineLevel="0" collapsed="false">
      <c r="A230" s="75" t="s">
        <v>393</v>
      </c>
      <c r="B230" s="75"/>
      <c r="C230" s="75"/>
      <c r="D230" s="75"/>
      <c r="E230" s="75"/>
      <c r="F230" s="75"/>
      <c r="G230" s="75"/>
      <c r="H230" s="75"/>
    </row>
    <row r="231" customFormat="false" ht="15" hidden="false" customHeight="false" outlineLevel="0" collapsed="false">
      <c r="A231" s="75" t="s">
        <v>394</v>
      </c>
      <c r="B231" s="75"/>
      <c r="C231" s="75"/>
      <c r="D231" s="75"/>
      <c r="E231" s="75"/>
      <c r="F231" s="75"/>
      <c r="G231" s="75"/>
      <c r="H231" s="75"/>
    </row>
    <row r="232" customFormat="false" ht="15" hidden="false" customHeight="false" outlineLevel="0" collapsed="false">
      <c r="A232" s="75" t="s">
        <v>395</v>
      </c>
      <c r="B232" s="75"/>
      <c r="C232" s="75"/>
      <c r="D232" s="75"/>
      <c r="E232" s="75"/>
      <c r="F232" s="75"/>
      <c r="G232" s="75"/>
      <c r="H232" s="75"/>
    </row>
    <row r="233" customFormat="false" ht="15" hidden="false" customHeight="false" outlineLevel="0" collapsed="false">
      <c r="A233" s="75" t="s">
        <v>396</v>
      </c>
      <c r="B233" s="75"/>
      <c r="C233" s="75"/>
      <c r="D233" s="75"/>
      <c r="E233" s="75"/>
      <c r="F233" s="75"/>
      <c r="G233" s="75"/>
      <c r="H233" s="75"/>
    </row>
    <row r="234" customFormat="false" ht="15" hidden="false" customHeight="false" outlineLevel="0" collapsed="false">
      <c r="A234" s="75" t="s">
        <v>397</v>
      </c>
      <c r="B234" s="75"/>
      <c r="C234" s="75"/>
      <c r="D234" s="75"/>
      <c r="E234" s="75"/>
      <c r="F234" s="75"/>
      <c r="G234" s="75"/>
      <c r="H234" s="75"/>
    </row>
    <row r="235" customFormat="false" ht="15" hidden="false" customHeight="false" outlineLevel="0" collapsed="false">
      <c r="A235" s="75" t="s">
        <v>251</v>
      </c>
      <c r="B235" s="75"/>
      <c r="C235" s="75"/>
      <c r="D235" s="75"/>
      <c r="E235" s="75"/>
      <c r="F235" s="75"/>
      <c r="G235" s="75"/>
      <c r="H235" s="75"/>
    </row>
    <row r="236" customFormat="false" ht="15" hidden="false" customHeight="false" outlineLevel="0" collapsed="false">
      <c r="A236" s="75" t="s">
        <v>398</v>
      </c>
      <c r="B236" s="75"/>
      <c r="C236" s="75"/>
      <c r="D236" s="75"/>
      <c r="E236" s="75"/>
      <c r="F236" s="75"/>
      <c r="G236" s="75"/>
      <c r="H236" s="75"/>
    </row>
    <row r="237" customFormat="false" ht="15" hidden="false" customHeight="false" outlineLevel="0" collapsed="false">
      <c r="A237" s="75" t="s">
        <v>331</v>
      </c>
      <c r="B237" s="75"/>
      <c r="C237" s="75"/>
      <c r="D237" s="75"/>
      <c r="E237" s="75"/>
      <c r="F237" s="75"/>
      <c r="G237" s="75"/>
      <c r="H237" s="75"/>
    </row>
    <row r="238" customFormat="false" ht="15" hidden="false" customHeight="false" outlineLevel="0" collapsed="false">
      <c r="A238" s="75" t="s">
        <v>221</v>
      </c>
      <c r="B238" s="75"/>
      <c r="C238" s="75"/>
      <c r="D238" s="75"/>
      <c r="E238" s="75"/>
      <c r="F238" s="75"/>
      <c r="G238" s="75"/>
      <c r="H238" s="75"/>
    </row>
    <row r="239" customFormat="false" ht="15" hidden="false" customHeight="false" outlineLevel="0" collapsed="false">
      <c r="A239" s="75" t="s">
        <v>399</v>
      </c>
      <c r="B239" s="75"/>
      <c r="C239" s="75"/>
      <c r="D239" s="75"/>
      <c r="E239" s="75"/>
      <c r="F239" s="75"/>
      <c r="G239" s="75"/>
      <c r="H239" s="75"/>
    </row>
    <row r="240" customFormat="false" ht="15" hidden="false" customHeight="false" outlineLevel="0" collapsed="false">
      <c r="A240" s="75" t="s">
        <v>400</v>
      </c>
      <c r="B240" s="75"/>
      <c r="C240" s="75"/>
      <c r="D240" s="75"/>
      <c r="E240" s="75"/>
      <c r="F240" s="75"/>
      <c r="G240" s="75"/>
      <c r="H240" s="75"/>
    </row>
    <row r="241" customFormat="false" ht="15" hidden="false" customHeight="false" outlineLevel="0" collapsed="false">
      <c r="A241" s="75" t="s">
        <v>345</v>
      </c>
      <c r="B241" s="75"/>
      <c r="C241" s="75"/>
      <c r="D241" s="75"/>
      <c r="E241" s="75"/>
      <c r="F241" s="75"/>
      <c r="G241" s="75"/>
      <c r="H241" s="75"/>
    </row>
    <row r="242" customFormat="false" ht="15" hidden="false" customHeight="false" outlineLevel="0" collapsed="false">
      <c r="A242" s="75" t="s">
        <v>401</v>
      </c>
      <c r="B242" s="75"/>
      <c r="C242" s="75"/>
      <c r="D242" s="75"/>
      <c r="E242" s="75"/>
      <c r="F242" s="75"/>
      <c r="G242" s="75"/>
      <c r="H242" s="75"/>
    </row>
    <row r="243" customFormat="false" ht="15" hidden="false" customHeight="false" outlineLevel="0" collapsed="false">
      <c r="A243" s="75" t="s">
        <v>347</v>
      </c>
      <c r="B243" s="75"/>
      <c r="C243" s="75"/>
      <c r="D243" s="75"/>
      <c r="E243" s="75"/>
      <c r="F243" s="75"/>
      <c r="G243" s="75"/>
      <c r="H243" s="75"/>
    </row>
    <row r="244" customFormat="false" ht="15" hidden="false" customHeight="false" outlineLevel="0" collapsed="false">
      <c r="A244" s="75" t="s">
        <v>354</v>
      </c>
      <c r="B244" s="75"/>
      <c r="C244" s="75"/>
      <c r="D244" s="75"/>
      <c r="E244" s="75"/>
      <c r="F244" s="75"/>
      <c r="G244" s="75"/>
      <c r="H244" s="75"/>
    </row>
    <row r="245" customFormat="false" ht="15" hidden="false" customHeight="false" outlineLevel="0" collapsed="false">
      <c r="A245" s="75" t="s">
        <v>402</v>
      </c>
      <c r="B245" s="75"/>
      <c r="C245" s="75"/>
      <c r="D245" s="75"/>
      <c r="E245" s="75"/>
      <c r="F245" s="75"/>
      <c r="G245" s="75"/>
      <c r="H245" s="75"/>
    </row>
    <row r="246" customFormat="false" ht="15" hidden="false" customHeight="false" outlineLevel="0" collapsed="false">
      <c r="A246" s="75" t="s">
        <v>403</v>
      </c>
      <c r="B246" s="75"/>
      <c r="C246" s="75"/>
      <c r="D246" s="75"/>
      <c r="E246" s="75"/>
      <c r="F246" s="75"/>
      <c r="G246" s="75"/>
      <c r="H246" s="75"/>
    </row>
    <row r="247" customFormat="false" ht="15" hidden="false" customHeight="false" outlineLevel="0" collapsed="false">
      <c r="A247" s="75" t="s">
        <v>404</v>
      </c>
      <c r="B247" s="75"/>
      <c r="C247" s="75"/>
      <c r="D247" s="75"/>
      <c r="E247" s="75"/>
      <c r="F247" s="75"/>
      <c r="G247" s="75"/>
      <c r="H247" s="75"/>
    </row>
    <row r="248" customFormat="false" ht="15" hidden="false" customHeight="false" outlineLevel="0" collapsed="false">
      <c r="A248" s="75" t="s">
        <v>405</v>
      </c>
      <c r="B248" s="75"/>
      <c r="C248" s="75"/>
      <c r="D248" s="75"/>
      <c r="E248" s="75"/>
      <c r="F248" s="75"/>
      <c r="G248" s="75"/>
      <c r="H248" s="75"/>
    </row>
    <row r="249" customFormat="false" ht="15" hidden="false" customHeight="false" outlineLevel="0" collapsed="false">
      <c r="A249" s="75" t="s">
        <v>251</v>
      </c>
      <c r="B249" s="75"/>
      <c r="C249" s="75"/>
      <c r="D249" s="75"/>
      <c r="E249" s="75"/>
      <c r="F249" s="75"/>
      <c r="G249" s="75"/>
      <c r="H249" s="75"/>
    </row>
    <row r="250" customFormat="false" ht="15" hidden="false" customHeight="false" outlineLevel="0" collapsed="false">
      <c r="A250" s="75" t="s">
        <v>349</v>
      </c>
      <c r="B250" s="75"/>
      <c r="C250" s="75"/>
      <c r="D250" s="75"/>
      <c r="E250" s="75"/>
      <c r="F250" s="75"/>
      <c r="G250" s="75"/>
      <c r="H250" s="75"/>
    </row>
    <row r="251" customFormat="false" ht="15" hidden="false" customHeight="false" outlineLevel="0" collapsed="false">
      <c r="A251" s="75" t="s">
        <v>406</v>
      </c>
      <c r="B251" s="75"/>
      <c r="C251" s="75"/>
      <c r="D251" s="75"/>
      <c r="E251" s="75"/>
      <c r="F251" s="75"/>
      <c r="G251" s="75"/>
      <c r="H251" s="75"/>
    </row>
    <row r="252" customFormat="false" ht="15" hidden="false" customHeight="false" outlineLevel="0" collapsed="false">
      <c r="A252" s="75" t="s">
        <v>407</v>
      </c>
      <c r="B252" s="75"/>
      <c r="C252" s="75"/>
      <c r="D252" s="75"/>
      <c r="E252" s="75"/>
      <c r="F252" s="75"/>
      <c r="G252" s="75"/>
      <c r="H252" s="75"/>
    </row>
    <row r="253" customFormat="false" ht="15" hidden="false" customHeight="false" outlineLevel="0" collapsed="false">
      <c r="A253" s="75" t="s">
        <v>262</v>
      </c>
      <c r="B253" s="75"/>
      <c r="C253" s="75"/>
      <c r="D253" s="75"/>
      <c r="E253" s="75"/>
      <c r="F253" s="75"/>
      <c r="G253" s="75"/>
      <c r="H253" s="75"/>
    </row>
    <row r="254" customFormat="false" ht="15" hidden="false" customHeight="false" outlineLevel="0" collapsed="false">
      <c r="A254" s="75" t="s">
        <v>408</v>
      </c>
      <c r="B254" s="75"/>
      <c r="C254" s="75"/>
      <c r="D254" s="75"/>
      <c r="E254" s="75"/>
      <c r="F254" s="75"/>
      <c r="G254" s="75"/>
      <c r="H254" s="75"/>
    </row>
    <row r="255" customFormat="false" ht="15" hidden="false" customHeight="false" outlineLevel="0" collapsed="false">
      <c r="A255" s="75" t="s">
        <v>351</v>
      </c>
      <c r="B255" s="75"/>
      <c r="C255" s="75"/>
      <c r="D255" s="75"/>
      <c r="E255" s="75"/>
      <c r="F255" s="75"/>
      <c r="G255" s="75"/>
      <c r="H255" s="75"/>
    </row>
    <row r="256" customFormat="false" ht="15" hidden="false" customHeight="false" outlineLevel="0" collapsed="false">
      <c r="A256" s="75" t="s">
        <v>221</v>
      </c>
      <c r="B256" s="75"/>
      <c r="C256" s="75"/>
      <c r="D256" s="75"/>
      <c r="E256" s="75"/>
      <c r="F256" s="75"/>
      <c r="G256" s="75"/>
      <c r="H256" s="75"/>
    </row>
    <row r="257" customFormat="false" ht="15" hidden="false" customHeight="false" outlineLevel="0" collapsed="false">
      <c r="A257" s="75" t="s">
        <v>409</v>
      </c>
      <c r="B257" s="75"/>
      <c r="C257" s="75"/>
      <c r="D257" s="75"/>
      <c r="E257" s="75"/>
      <c r="F257" s="75"/>
      <c r="G257" s="75"/>
      <c r="H257" s="75"/>
    </row>
    <row r="258" customFormat="false" ht="15" hidden="false" customHeight="false" outlineLevel="0" collapsed="false">
      <c r="A258" s="75" t="s">
        <v>345</v>
      </c>
      <c r="B258" s="75"/>
      <c r="C258" s="75"/>
      <c r="D258" s="75"/>
      <c r="E258" s="75"/>
      <c r="F258" s="75"/>
      <c r="G258" s="75"/>
      <c r="H258" s="75"/>
    </row>
    <row r="259" customFormat="false" ht="15" hidden="false" customHeight="false" outlineLevel="0" collapsed="false">
      <c r="A259" s="75" t="s">
        <v>401</v>
      </c>
      <c r="B259" s="75"/>
      <c r="C259" s="75"/>
      <c r="D259" s="75"/>
      <c r="E259" s="75"/>
      <c r="F259" s="75"/>
      <c r="G259" s="75"/>
      <c r="H259" s="75"/>
    </row>
    <row r="260" customFormat="false" ht="15" hidden="false" customHeight="false" outlineLevel="0" collapsed="false">
      <c r="A260" s="75" t="s">
        <v>347</v>
      </c>
      <c r="B260" s="75"/>
      <c r="C260" s="75"/>
      <c r="D260" s="75"/>
      <c r="E260" s="75"/>
      <c r="F260" s="75"/>
      <c r="G260" s="75"/>
      <c r="H260" s="75"/>
    </row>
    <row r="261" customFormat="false" ht="15" hidden="false" customHeight="false" outlineLevel="0" collapsed="false">
      <c r="A261" s="75" t="s">
        <v>354</v>
      </c>
      <c r="B261" s="75"/>
      <c r="C261" s="75"/>
      <c r="D261" s="75"/>
      <c r="E261" s="75"/>
      <c r="F261" s="75"/>
      <c r="G261" s="75"/>
      <c r="H261" s="75"/>
    </row>
    <row r="262" customFormat="false" ht="15" hidden="false" customHeight="false" outlineLevel="0" collapsed="false">
      <c r="A262" s="75" t="s">
        <v>402</v>
      </c>
      <c r="B262" s="75"/>
      <c r="C262" s="75"/>
      <c r="D262" s="75"/>
      <c r="E262" s="75"/>
      <c r="F262" s="75"/>
      <c r="G262" s="75"/>
      <c r="H262" s="75"/>
    </row>
    <row r="263" customFormat="false" ht="15" hidden="false" customHeight="false" outlineLevel="0" collapsed="false">
      <c r="A263" s="75" t="s">
        <v>403</v>
      </c>
      <c r="B263" s="75"/>
      <c r="C263" s="75"/>
      <c r="D263" s="75"/>
      <c r="E263" s="75"/>
      <c r="F263" s="75"/>
      <c r="G263" s="75"/>
      <c r="H263" s="75"/>
    </row>
    <row r="264" customFormat="false" ht="15" hidden="false" customHeight="false" outlineLevel="0" collapsed="false">
      <c r="A264" s="75" t="s">
        <v>410</v>
      </c>
      <c r="B264" s="75"/>
      <c r="C264" s="75"/>
      <c r="D264" s="75"/>
      <c r="E264" s="75"/>
      <c r="F264" s="75"/>
      <c r="G264" s="75"/>
      <c r="H264" s="75"/>
    </row>
    <row r="265" customFormat="false" ht="15" hidden="false" customHeight="false" outlineLevel="0" collapsed="false">
      <c r="A265" s="75" t="s">
        <v>405</v>
      </c>
      <c r="B265" s="75"/>
      <c r="C265" s="75"/>
      <c r="D265" s="75"/>
      <c r="E265" s="75"/>
      <c r="F265" s="75"/>
      <c r="G265" s="75"/>
      <c r="H265" s="75"/>
    </row>
    <row r="266" customFormat="false" ht="15" hidden="false" customHeight="false" outlineLevel="0" collapsed="false">
      <c r="A266" s="75" t="s">
        <v>251</v>
      </c>
      <c r="B266" s="75"/>
      <c r="C266" s="75"/>
      <c r="D266" s="75"/>
      <c r="E266" s="75"/>
      <c r="F266" s="75"/>
      <c r="G266" s="75"/>
      <c r="H266" s="75"/>
    </row>
    <row r="267" customFormat="false" ht="15" hidden="false" customHeight="false" outlineLevel="0" collapsed="false">
      <c r="A267" s="75" t="s">
        <v>349</v>
      </c>
      <c r="B267" s="75"/>
      <c r="C267" s="75"/>
      <c r="D267" s="75"/>
      <c r="E267" s="75"/>
      <c r="F267" s="75"/>
      <c r="G267" s="75"/>
      <c r="H267" s="75"/>
    </row>
    <row r="268" customFormat="false" ht="15" hidden="false" customHeight="false" outlineLevel="0" collapsed="false">
      <c r="A268" s="75" t="s">
        <v>331</v>
      </c>
      <c r="B268" s="75"/>
      <c r="C268" s="75"/>
      <c r="D268" s="75"/>
      <c r="E268" s="75"/>
      <c r="F268" s="75"/>
      <c r="G268" s="75"/>
      <c r="H268" s="75"/>
    </row>
    <row r="269" customFormat="false" ht="15" hidden="false" customHeight="false" outlineLevel="0" collapsed="false">
      <c r="A269" s="75" t="s">
        <v>221</v>
      </c>
      <c r="B269" s="75"/>
      <c r="C269" s="75"/>
      <c r="D269" s="75"/>
      <c r="E269" s="75"/>
      <c r="F269" s="75"/>
      <c r="G269" s="75"/>
      <c r="H269" s="75"/>
    </row>
    <row r="270" customFormat="false" ht="15" hidden="false" customHeight="false" outlineLevel="0" collapsed="false">
      <c r="A270" s="75" t="s">
        <v>411</v>
      </c>
      <c r="B270" s="75"/>
      <c r="C270" s="75"/>
      <c r="D270" s="75"/>
      <c r="E270" s="75"/>
      <c r="F270" s="75"/>
      <c r="G270" s="75"/>
      <c r="H270" s="75"/>
    </row>
    <row r="271" customFormat="false" ht="15" hidden="false" customHeight="false" outlineLevel="0" collapsed="false">
      <c r="A271" s="75" t="s">
        <v>223</v>
      </c>
      <c r="B271" s="75"/>
      <c r="C271" s="75"/>
      <c r="D271" s="75"/>
      <c r="E271" s="75"/>
      <c r="F271" s="75"/>
      <c r="G271" s="75"/>
      <c r="H271" s="75"/>
    </row>
    <row r="272" customFormat="false" ht="15" hidden="false" customHeight="false" outlineLevel="0" collapsed="false">
      <c r="A272" s="75" t="s">
        <v>412</v>
      </c>
      <c r="B272" s="75"/>
      <c r="C272" s="75"/>
      <c r="D272" s="75"/>
      <c r="E272" s="75"/>
      <c r="F272" s="75"/>
      <c r="G272" s="75"/>
      <c r="H272" s="75"/>
    </row>
    <row r="273" customFormat="false" ht="15" hidden="false" customHeight="false" outlineLevel="0" collapsed="false">
      <c r="A273" s="75" t="s">
        <v>282</v>
      </c>
      <c r="B273" s="75"/>
      <c r="C273" s="75"/>
      <c r="D273" s="75"/>
      <c r="E273" s="75"/>
      <c r="F273" s="75"/>
      <c r="G273" s="75"/>
      <c r="H273" s="75"/>
    </row>
    <row r="274" customFormat="false" ht="15" hidden="false" customHeight="false" outlineLevel="0" collapsed="false">
      <c r="A274" s="75" t="s">
        <v>413</v>
      </c>
      <c r="B274" s="75"/>
      <c r="C274" s="75"/>
      <c r="D274" s="75"/>
      <c r="E274" s="75"/>
      <c r="F274" s="75"/>
      <c r="G274" s="75"/>
      <c r="H274" s="75"/>
    </row>
    <row r="275" customFormat="false" ht="15" hidden="false" customHeight="false" outlineLevel="0" collapsed="false">
      <c r="A275" s="75" t="s">
        <v>252</v>
      </c>
      <c r="B275" s="75"/>
      <c r="C275" s="75"/>
      <c r="D275" s="75"/>
      <c r="E275" s="75"/>
      <c r="F275" s="75"/>
      <c r="G275" s="75"/>
      <c r="H275" s="75"/>
    </row>
    <row r="276" customFormat="false" ht="15" hidden="false" customHeight="false" outlineLevel="0" collapsed="false">
      <c r="A276" s="75" t="s">
        <v>331</v>
      </c>
      <c r="B276" s="75"/>
      <c r="C276" s="75"/>
      <c r="D276" s="75"/>
      <c r="E276" s="75"/>
      <c r="F276" s="75"/>
      <c r="G276" s="75"/>
      <c r="H276" s="75"/>
    </row>
    <row r="277" customFormat="false" ht="15" hidden="false" customHeight="false" outlineLevel="0" collapsed="false">
      <c r="A277" s="75" t="s">
        <v>221</v>
      </c>
      <c r="B277" s="75"/>
      <c r="C277" s="75"/>
      <c r="D277" s="75"/>
      <c r="E277" s="75"/>
      <c r="F277" s="75"/>
      <c r="G277" s="75"/>
      <c r="H277" s="75"/>
    </row>
    <row r="278" customFormat="false" ht="15" hidden="false" customHeight="false" outlineLevel="0" collapsed="false">
      <c r="A278" s="75" t="s">
        <v>414</v>
      </c>
      <c r="B278" s="75"/>
      <c r="C278" s="75"/>
      <c r="D278" s="75"/>
      <c r="E278" s="75"/>
      <c r="F278" s="75"/>
      <c r="G278" s="75"/>
      <c r="H278" s="75"/>
    </row>
    <row r="279" customFormat="false" ht="15" hidden="false" customHeight="false" outlineLevel="0" collapsed="false">
      <c r="A279" s="75" t="s">
        <v>223</v>
      </c>
      <c r="B279" s="75"/>
      <c r="C279" s="75"/>
      <c r="D279" s="75"/>
      <c r="E279" s="75"/>
      <c r="F279" s="75"/>
      <c r="G279" s="75"/>
      <c r="H279" s="75"/>
    </row>
    <row r="280" customFormat="false" ht="15" hidden="false" customHeight="false" outlineLevel="0" collapsed="false">
      <c r="A280" s="75" t="s">
        <v>415</v>
      </c>
      <c r="B280" s="75"/>
      <c r="C280" s="75"/>
      <c r="D280" s="75"/>
      <c r="E280" s="75"/>
      <c r="F280" s="75"/>
      <c r="G280" s="75"/>
      <c r="H280" s="75"/>
    </row>
    <row r="281" customFormat="false" ht="15" hidden="false" customHeight="false" outlineLevel="0" collapsed="false">
      <c r="A281" s="75" t="s">
        <v>412</v>
      </c>
      <c r="B281" s="75"/>
      <c r="C281" s="75"/>
      <c r="D281" s="75"/>
      <c r="E281" s="75"/>
      <c r="F281" s="75"/>
      <c r="G281" s="75"/>
      <c r="H281" s="75"/>
    </row>
    <row r="282" customFormat="false" ht="15" hidden="false" customHeight="false" outlineLevel="0" collapsed="false">
      <c r="A282" s="75" t="s">
        <v>282</v>
      </c>
      <c r="B282" s="75"/>
      <c r="C282" s="75"/>
      <c r="D282" s="75"/>
      <c r="E282" s="75"/>
      <c r="F282" s="75"/>
      <c r="G282" s="75"/>
      <c r="H282" s="75"/>
    </row>
    <row r="283" customFormat="false" ht="15" hidden="false" customHeight="false" outlineLevel="0" collapsed="false">
      <c r="A283" s="75" t="s">
        <v>413</v>
      </c>
      <c r="B283" s="75"/>
      <c r="C283" s="75"/>
      <c r="D283" s="75"/>
      <c r="E283" s="75"/>
      <c r="F283" s="75"/>
      <c r="G283" s="75"/>
      <c r="H283" s="75"/>
    </row>
    <row r="284" customFormat="false" ht="15" hidden="false" customHeight="false" outlineLevel="0" collapsed="false">
      <c r="A284" s="75" t="s">
        <v>252</v>
      </c>
      <c r="B284" s="75"/>
      <c r="C284" s="75"/>
      <c r="D284" s="75"/>
      <c r="E284" s="75"/>
      <c r="F284" s="75"/>
      <c r="G284" s="75"/>
      <c r="H284" s="75"/>
    </row>
    <row r="285" customFormat="false" ht="15" hidden="false" customHeight="false" outlineLevel="0" collapsed="false">
      <c r="A285" s="75" t="s">
        <v>416</v>
      </c>
      <c r="B285" s="75"/>
      <c r="C285" s="75"/>
      <c r="D285" s="75"/>
      <c r="E285" s="75"/>
      <c r="F285" s="75"/>
      <c r="G285" s="75"/>
      <c r="H285" s="75"/>
    </row>
    <row r="286" customFormat="false" ht="15" hidden="false" customHeight="false" outlineLevel="0" collapsed="false">
      <c r="A286" s="75" t="s">
        <v>417</v>
      </c>
      <c r="B286" s="75"/>
      <c r="C286" s="75"/>
      <c r="D286" s="75"/>
      <c r="E286" s="75"/>
      <c r="F286" s="75"/>
      <c r="G286" s="75"/>
      <c r="H286" s="75"/>
    </row>
    <row r="287" customFormat="false" ht="15" hidden="false" customHeight="false" outlineLevel="0" collapsed="false">
      <c r="A287" s="75" t="s">
        <v>418</v>
      </c>
      <c r="B287" s="75"/>
      <c r="C287" s="75"/>
      <c r="D287" s="75"/>
      <c r="E287" s="75"/>
      <c r="F287" s="75"/>
      <c r="G287" s="75"/>
      <c r="H287" s="75"/>
    </row>
    <row r="288" customFormat="false" ht="15" hidden="false" customHeight="false" outlineLevel="0" collapsed="false">
      <c r="A288" s="75" t="s">
        <v>252</v>
      </c>
      <c r="B288" s="75"/>
      <c r="C288" s="75"/>
      <c r="D288" s="75"/>
      <c r="E288" s="75"/>
      <c r="F288" s="75"/>
      <c r="G288" s="75"/>
      <c r="H288" s="75"/>
    </row>
    <row r="289" customFormat="false" ht="15" hidden="false" customHeight="false" outlineLevel="0" collapsed="false">
      <c r="A289" s="75" t="s">
        <v>419</v>
      </c>
      <c r="B289" s="75"/>
      <c r="C289" s="75"/>
      <c r="D289" s="75"/>
      <c r="E289" s="75"/>
      <c r="F289" s="75"/>
      <c r="G289" s="75"/>
      <c r="H289" s="75"/>
    </row>
    <row r="290" customFormat="false" ht="15" hidden="false" customHeight="false" outlineLevel="0" collapsed="false">
      <c r="A290" s="75" t="s">
        <v>331</v>
      </c>
      <c r="B290" s="75"/>
      <c r="C290" s="75"/>
      <c r="D290" s="75"/>
      <c r="E290" s="75"/>
      <c r="F290" s="75"/>
      <c r="G290" s="75"/>
      <c r="H290" s="75"/>
    </row>
    <row r="291" customFormat="false" ht="15" hidden="false" customHeight="false" outlineLevel="0" collapsed="false">
      <c r="A291" s="75" t="s">
        <v>221</v>
      </c>
      <c r="B291" s="75"/>
      <c r="C291" s="75"/>
      <c r="D291" s="75"/>
      <c r="E291" s="75"/>
      <c r="F291" s="75"/>
      <c r="G291" s="75"/>
      <c r="H291" s="75"/>
    </row>
  </sheetData>
  <mergeCells count="289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  <mergeCell ref="A157:H157"/>
    <mergeCell ref="A158:H158"/>
    <mergeCell ref="A159:H159"/>
    <mergeCell ref="A160:H160"/>
    <mergeCell ref="A161:H161"/>
    <mergeCell ref="A162:H162"/>
    <mergeCell ref="A163:H163"/>
    <mergeCell ref="A164:H164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A173:H173"/>
    <mergeCell ref="A174:H174"/>
    <mergeCell ref="A175:H175"/>
    <mergeCell ref="A176:H176"/>
    <mergeCell ref="A177:H177"/>
    <mergeCell ref="A178:H178"/>
    <mergeCell ref="A179:H179"/>
    <mergeCell ref="A180:H180"/>
    <mergeCell ref="A181:H181"/>
    <mergeCell ref="A182:H182"/>
    <mergeCell ref="A183:H183"/>
    <mergeCell ref="A184:H184"/>
    <mergeCell ref="A185:H185"/>
    <mergeCell ref="A186:H186"/>
    <mergeCell ref="A187:H187"/>
    <mergeCell ref="A188:H188"/>
    <mergeCell ref="A189:H189"/>
    <mergeCell ref="A190:H190"/>
    <mergeCell ref="A191:H191"/>
    <mergeCell ref="A192:H192"/>
    <mergeCell ref="A193:H193"/>
    <mergeCell ref="A194:H194"/>
    <mergeCell ref="A195:H195"/>
    <mergeCell ref="A196:H196"/>
    <mergeCell ref="A197:H197"/>
    <mergeCell ref="A198:H198"/>
    <mergeCell ref="A199:H199"/>
    <mergeCell ref="A200:H200"/>
    <mergeCell ref="A201:H201"/>
    <mergeCell ref="A202:H202"/>
    <mergeCell ref="A203:H203"/>
    <mergeCell ref="A204:H204"/>
    <mergeCell ref="A205:H205"/>
    <mergeCell ref="A206:H206"/>
    <mergeCell ref="A207:H207"/>
    <mergeCell ref="A208:H208"/>
    <mergeCell ref="A209:H209"/>
    <mergeCell ref="A210:H210"/>
    <mergeCell ref="A211:H211"/>
    <mergeCell ref="A212:H212"/>
    <mergeCell ref="A213:H213"/>
    <mergeCell ref="A214:H214"/>
    <mergeCell ref="A215:H215"/>
    <mergeCell ref="A216:H216"/>
    <mergeCell ref="A217:H217"/>
    <mergeCell ref="A218:H218"/>
    <mergeCell ref="A219:H219"/>
    <mergeCell ref="A220:H220"/>
    <mergeCell ref="A221:H221"/>
    <mergeCell ref="A222:H222"/>
    <mergeCell ref="A223:H223"/>
    <mergeCell ref="A224:H224"/>
    <mergeCell ref="A225:H225"/>
    <mergeCell ref="A226:H226"/>
    <mergeCell ref="A227:H227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37:H237"/>
    <mergeCell ref="A238:H238"/>
    <mergeCell ref="A239:H239"/>
    <mergeCell ref="A240:H240"/>
    <mergeCell ref="A241:H241"/>
    <mergeCell ref="A242:H242"/>
    <mergeCell ref="A243:H243"/>
    <mergeCell ref="A244:H244"/>
    <mergeCell ref="A245:H245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55:H255"/>
    <mergeCell ref="A256:H256"/>
    <mergeCell ref="A257:H257"/>
    <mergeCell ref="A258:H258"/>
    <mergeCell ref="A259:H259"/>
    <mergeCell ref="A260:H260"/>
    <mergeCell ref="A261:H261"/>
    <mergeCell ref="A262:H262"/>
    <mergeCell ref="A263:H263"/>
    <mergeCell ref="A264:H264"/>
    <mergeCell ref="A265:H265"/>
    <mergeCell ref="A266:H266"/>
    <mergeCell ref="A267:H267"/>
    <mergeCell ref="A268:H268"/>
    <mergeCell ref="A269:H269"/>
    <mergeCell ref="A270:H270"/>
    <mergeCell ref="A271:H271"/>
    <mergeCell ref="A272:H272"/>
    <mergeCell ref="A273:H273"/>
    <mergeCell ref="A274:H274"/>
    <mergeCell ref="A275:H275"/>
    <mergeCell ref="A276:H276"/>
    <mergeCell ref="A277:H277"/>
    <mergeCell ref="A278:H278"/>
    <mergeCell ref="A279:H279"/>
    <mergeCell ref="A280:H280"/>
    <mergeCell ref="A281:H281"/>
    <mergeCell ref="A282:H282"/>
    <mergeCell ref="A283:H283"/>
    <mergeCell ref="A284:H284"/>
    <mergeCell ref="A285:H285"/>
    <mergeCell ref="A286:H286"/>
    <mergeCell ref="A287:H287"/>
    <mergeCell ref="A288:H288"/>
    <mergeCell ref="A289:H289"/>
    <mergeCell ref="A290:H290"/>
    <mergeCell ref="A291:H2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2026-06-14T02:17:16Z</dcterms:created>
  <dc:creator>openpyxl</dc:creator>
  <dc:description/>
  <dc:language>en-US</dc:language>
  <cp:lastModifiedBy/>
  <dcterms:modified xsi:type="dcterms:W3CDTF">2026-06-14T02:17:16Z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