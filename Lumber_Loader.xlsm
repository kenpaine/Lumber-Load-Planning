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1CEB0288-A816-4E14-B9D4-F33CB346A3F8}" xr6:coauthVersionLast="47" xr6:coauthVersionMax="47" xr10:uidLastSave="{00000000-0000-0000-0000-000000000000}"/>
  <bookViews>
    <workbookView xWindow="-48780" yWindow="2100" windowWidth="20445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<sst xmlns="http://schemas.openxmlformats.org/spreadsheetml/2006/main" count="755" uniqueCount="523">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</sst>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  <font>
      <b/>
      <sz val="11"/>
      <color rgb="FF00000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6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6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2" fillId="4" borderId="1" xfId="0" applyFont="1" applyFill="1" applyBorder="1" applyAlignment="1">
      <alignment horizontal="center" vertical="center"/>
    </xf>
    <xf numFmtId="0" fontId="53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4" fillId="0" borderId="0" xfId="1" applyFont="1" applyAlignment="1">
      <alignment horizontal="left" vertical="center" wrapText="1"/>
    </xf>
    <xf numFmtId="0" fontId="55" fillId="0" borderId="0" xfId="1" applyFont="1"/>
    <xf numFmtId="0" fontId="1" fillId="0" borderId="0" xfId="1"/>
    <xf numFmtId="165" fontId="1" fillId="0" borderId="0" xfId="1" applyNumberFormat="1"/>
    <xf numFmtId="0" fontId="56" fillId="28" borderId="0" xfId="1" applyFont="1" applyFill="1"/>
    <xf numFmtId="0" fontId="57" fillId="29" borderId="0" xfId="1" applyFont="1" applyFill="1"/>
    <xf numFmtId="0" fontId="57" fillId="30" borderId="0" xfId="1" applyFont="1" applyFill="1"/>
    <xf numFmtId="0" fontId="57" fillId="31" borderId="0" xfId="1" applyFont="1" applyFill="1"/>
    <xf numFmtId="0" fontId="57" fillId="32" borderId="0" xfId="1" applyFont="1" applyFill="1"/>
    <xf numFmtId="0" fontId="57" fillId="33" borderId="0" xfId="1" applyFont="1" applyFill="1"/>
    <xf numFmtId="0" fontId="57" fillId="34" borderId="0" xfId="1" applyFont="1" applyFill="1"/>
    <xf numFmtId="0" fontId="57" fillId="35" borderId="0" xfId="1" applyFont="1" applyFill="1"/>
    <xf numFmtId="1" fontId="55" fillId="0" borderId="0" xfId="1" applyNumberFormat="1" applyFont="1" applyAlignment="1">
      <alignment horizontal="center" vertical="center"/>
    </xf>
    <xf numFmtId="1" fontId="55" fillId="36" borderId="0" xfId="1" applyNumberFormat="1" applyFont="1" applyFill="1" applyAlignment="1">
      <alignment horizontal="center" vertical="center"/>
    </xf>
    <xf numFmtId="1" fontId="58" fillId="28" borderId="32" xfId="1" applyNumberFormat="1" applyFont="1" applyFill="1" applyBorder="1" applyAlignment="1">
      <alignment horizontal="center" vertical="center"/>
    </xf>
    <xf numFmtId="0" fontId="58" fillId="28" borderId="32" xfId="1" applyFont="1" applyFill="1" applyBorder="1"/>
    <xf numFmtId="0" fontId="60" fillId="37" borderId="0" xfId="1" applyFont="1" applyFill="1" applyAlignment="1">
      <alignment horizontal="center" vertical="center" wrapText="1"/>
    </xf>
    <xf numFmtId="0" fontId="1" fillId="0" borderId="0" xfId="1"/>
    <xf numFmtId="0" fontId="61" fillId="0" borderId="0" xfId="1" applyFont="1" applyAlignment="1">
      <alignment horizontal="left" vertical="center" wrapText="1"/>
    </xf>
    <xf numFmtId="0" fontId="56" fillId="38" borderId="0" xfId="1" applyFont="1" applyFill="1" applyAlignment="1">
      <alignment horizontal="left" vertical="center" wrapText="1"/>
    </xf>
    <xf numFmtId="0" fontId="56" fillId="0" borderId="0" xfId="1" applyFont="1" applyAlignment="1">
      <alignment horizontal="right"/>
    </xf>
    <xf numFmtId="0" fontId="54" fillId="0" borderId="0" xfId="1" applyFont="1"/>
    <xf numFmtId="0" fontId="62" fillId="0" borderId="0" xfId="1" applyFont="1" applyAlignment="1">
      <alignment horizontal="left" vertical="center" wrapText="1"/>
    </xf>
    <xf numFmtId="0" fontId="56" fillId="0" borderId="0" xfId="1" applyFont="1" applyAlignment="1">
      <alignment horizontal="center"/>
    </xf>
    <xf numFmtId="0" fontId="63" fillId="0" borderId="0" xfId="1" applyFont="1" applyAlignment="1">
      <alignment horizontal="left" vertical="center" wrapText="1"/>
    </xf>
    <xf numFmtId="0" fontId="57" fillId="29" borderId="0" xfId="1" applyFont="1" applyFill="1" applyAlignment="1">
      <alignment horizontal="center"/>
    </xf>
    <xf numFmtId="165" fontId="54" fillId="0" borderId="0" xfId="1" applyNumberFormat="1" applyFont="1" applyAlignment="1">
      <alignment horizontal="left"/>
    </xf>
    <xf numFmtId="0" fontId="57" fillId="30" borderId="0" xfId="1" applyFont="1" applyFill="1" applyAlignment="1">
      <alignment horizontal="center"/>
    </xf>
    <xf numFmtId="0" fontId="57" fillId="31" borderId="0" xfId="1" applyFont="1" applyFill="1" applyAlignment="1">
      <alignment horizontal="center"/>
    </xf>
    <xf numFmtId="0" fontId="57" fillId="32" borderId="0" xfId="1" applyFont="1" applyFill="1" applyAlignment="1">
      <alignment horizontal="center"/>
    </xf>
    <xf numFmtId="0" fontId="57" fillId="33" borderId="0" xfId="1" applyFont="1" applyFill="1" applyAlignment="1">
      <alignment horizontal="center"/>
    </xf>
    <xf numFmtId="0" fontId="57" fillId="34" borderId="0" xfId="1" applyFont="1" applyFill="1" applyAlignment="1">
      <alignment horizontal="center"/>
    </xf>
    <xf numFmtId="0" fontId="57" fillId="35" borderId="0" xfId="1" applyFont="1" applyFill="1" applyAlignment="1">
      <alignment horizontal="center"/>
    </xf>
    <xf numFmtId="0" fontId="56" fillId="0" borderId="0" xfId="1" applyFont="1"/>
    <xf numFmtId="0" fontId="56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6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4" fillId="40" borderId="0" xfId="1" applyFont="1" applyFill="1" applyAlignment="1">
      <alignment horizontal="left" vertical="center" wrapText="1"/>
    </xf>
    <xf numFmtId="0" fontId="53" fillId="0" borderId="0" xfId="1" applyFont="1"/>
    <xf numFmtId="0" fontId="0" fillId="0" borderId="0" xfId="0"/>
    <xf numFmtId="0" fontId="33" fillId="0" borderId="0" xfId="0" applyFont="1"/>
    <xf numFmtId="0" fontId="33" fillId="28" borderId="33" xfId="0" applyFont="1" applyFill="1" applyBorder="1"/>
    <xf numFmtId="0" fontId="0" fillId="0" borderId="34" xfId="0" applyBorder="1"/>
    <xf numFmtId="0" fontId="0" fillId="0" borderId="35" xfId="0" applyBorder="1"/>
    <xf numFmtId="0" fontId="65" fillId="14" borderId="1" xfId="0" applyFont="1" applyFill="1" applyBorder="1" applyAlignment="1">
      <alignment horizontal="center" vertical="center"/>
    </xf>
    <xf numFmtId="0" fontId="65" fillId="18" borderId="1" xfId="0" applyFont="1" applyFill="1" applyBorder="1" applyAlignment="1">
      <alignment horizontal="center" vertical="center"/>
    </xf>
    <xf numFmtId="0" fontId="65" fillId="15" borderId="1" xfId="0" applyFont="1" applyFill="1" applyBorder="1" applyAlignment="1">
      <alignment horizontal="center" vertical="center"/>
    </xf>
    <xf numFmtId="0" fontId="65" fillId="17" borderId="1" xfId="0" applyFont="1" applyFill="1" applyBorder="1" applyAlignment="1">
      <alignment horizontal="center" vertical="center"/>
    </xf>
    <xf numFmtId="0" fontId="65" fillId="16" borderId="1" xfId="0" applyFont="1" applyFill="1" applyBorder="1" applyAlignment="1">
      <alignment horizontal="center" vertical="center"/>
    </xf>
    <xf numFmtId="0" fontId="65" fillId="12" borderId="1" xfId="0" applyFont="1" applyFill="1" applyBorder="1" applyAlignment="1">
      <alignment horizontal="center" vertical="center"/>
    </xf>
    <xf numFmtId="0" fontId="65" fillId="13" borderId="1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E3D08C36-7E65-4955-AB29-AF1A0B47E4C3}"/>
  </cellStyles>
  <dxfs count="35"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  <dxf>
      <fill>
        <patternFill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</xdr:colOff>
      <xdr:row>3</xdr:row>
      <xdr:rowOff>3810</xdr:rowOff>
    </xdr:from>
    <xdr:to>
      <xdr:col>7</xdr:col>
      <xdr:colOff>268605</xdr:colOff>
      <xdr:row>5</xdr:row>
      <xdr:rowOff>73660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8B4875-ABA2-4372-994A-0A60C4EDEEEB}"/>
            </a:ext>
          </a:extLst>
        </xdr:cNvPr>
        <xdr:cNvSpPr/>
      </xdr:nvSpPr>
      <xdr:spPr>
        <a:xfrm>
          <a:off x="3842385" y="750570"/>
          <a:ext cx="1912620" cy="43561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395605</xdr:colOff>
      <xdr:row>3</xdr:row>
      <xdr:rowOff>3810</xdr:rowOff>
    </xdr:from>
    <xdr:to>
      <xdr:col>10</xdr:col>
      <xdr:colOff>33655</xdr:colOff>
      <xdr:row>5</xdr:row>
      <xdr:rowOff>73660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ACA8355-852D-4FAC-8661-B295CD2A37F5}"/>
            </a:ext>
          </a:extLst>
        </xdr:cNvPr>
        <xdr:cNvSpPr/>
      </xdr:nvSpPr>
      <xdr:spPr>
        <a:xfrm>
          <a:off x="5882005" y="750570"/>
          <a:ext cx="1146810" cy="43561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30480</xdr:rowOff>
        </xdr:from>
        <xdr:to>
          <xdr:col>1</xdr:col>
          <xdr:colOff>744855</xdr:colOff>
          <xdr:row>11</xdr:row>
          <xdr:rowOff>53340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C1DA087-F6BB-4FA5-ADFB-F2260DF8B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30480</xdr:rowOff>
        </xdr:from>
        <xdr:to>
          <xdr:col>1</xdr:col>
          <xdr:colOff>1863090</xdr:colOff>
          <xdr:row>11</xdr:row>
          <xdr:rowOff>53340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16E758C-0959-4800-82D4-1EB4AA379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11</xdr:row>
          <xdr:rowOff>30480</xdr:rowOff>
        </xdr:from>
        <xdr:to>
          <xdr:col>1</xdr:col>
          <xdr:colOff>744855</xdr:colOff>
          <xdr:row>12</xdr:row>
          <xdr:rowOff>53340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559B49FF-7FC3-4B5D-969D-44DB70FD0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30480</xdr:rowOff>
        </xdr:from>
        <xdr:to>
          <xdr:col>1</xdr:col>
          <xdr:colOff>1863090</xdr:colOff>
          <xdr:row>12</xdr:row>
          <xdr:rowOff>53340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F5C1D97-4C82-4FFE-BAEE-6C91C3200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30480</xdr:rowOff>
        </xdr:from>
        <xdr:to>
          <xdr:col>1</xdr:col>
          <xdr:colOff>744855</xdr:colOff>
          <xdr:row>13</xdr:row>
          <xdr:rowOff>53340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A9B98847-F2D9-4D32-9865-C74566992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30480</xdr:rowOff>
        </xdr:from>
        <xdr:to>
          <xdr:col>1</xdr:col>
          <xdr:colOff>1863090</xdr:colOff>
          <xdr:row>13</xdr:row>
          <xdr:rowOff>53340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6AB068CF-0817-4876-8AED-3C15BF5751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30480</xdr:rowOff>
        </xdr:from>
        <xdr:to>
          <xdr:col>1</xdr:col>
          <xdr:colOff>744855</xdr:colOff>
          <xdr:row>14</xdr:row>
          <xdr:rowOff>53340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9EB60753-321A-4D54-96BF-ADD2221D3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30480</xdr:rowOff>
        </xdr:from>
        <xdr:to>
          <xdr:col>1</xdr:col>
          <xdr:colOff>1863090</xdr:colOff>
          <xdr:row>14</xdr:row>
          <xdr:rowOff>53340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B70A4C66-20CF-48A9-AE6C-098A98277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744855</xdr:colOff>
          <xdr:row>15</xdr:row>
          <xdr:rowOff>53340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FC34083E-91E5-4803-BE4C-61833EAFAB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30480</xdr:rowOff>
        </xdr:from>
        <xdr:to>
          <xdr:col>1</xdr:col>
          <xdr:colOff>1863090</xdr:colOff>
          <xdr:row>15</xdr:row>
          <xdr:rowOff>53340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538BBFAB-2FD4-4B17-A834-0485DAB05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38100</xdr:rowOff>
        </xdr:from>
        <xdr:to>
          <xdr:col>1</xdr:col>
          <xdr:colOff>744855</xdr:colOff>
          <xdr:row>16</xdr:row>
          <xdr:rowOff>55245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43A63894-560B-4AC1-939E-437608F62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38100</xdr:rowOff>
        </xdr:from>
        <xdr:to>
          <xdr:col>1</xdr:col>
          <xdr:colOff>1863090</xdr:colOff>
          <xdr:row>16</xdr:row>
          <xdr:rowOff>55245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92BA0F1E-7FA3-4457-9638-01B8F8AF6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744855</xdr:colOff>
          <xdr:row>17</xdr:row>
          <xdr:rowOff>55245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278628B2-5673-46A8-B0C2-6FBD96E39D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38100</xdr:rowOff>
        </xdr:from>
        <xdr:to>
          <xdr:col>1</xdr:col>
          <xdr:colOff>1863090</xdr:colOff>
          <xdr:row>17</xdr:row>
          <xdr:rowOff>55245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BE26DE4D-7F7F-4C49-A3C4-A06770511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13335</xdr:colOff>
      <xdr:row>16</xdr:row>
      <xdr:rowOff>28575</xdr:rowOff>
    </xdr:from>
    <xdr:to>
      <xdr:col>11</xdr:col>
      <xdr:colOff>803910</xdr:colOff>
      <xdr:row>18</xdr:row>
      <xdr:rowOff>98425</xdr:rowOff>
    </xdr:to>
    <xdr:sp macro="SendTallyToLoader" textlink="">
      <xdr:nvSpPr>
        <xdr:cNvPr id="4" name="btnSendToLoader">
          <a:extLst>
            <a:ext uri="{FF2B5EF4-FFF2-40B4-BE49-F238E27FC236}">
              <a16:creationId xmlns:a16="http://schemas.microsoft.com/office/drawing/2014/main" id="{96382D44-BA83-057F-1902-C4BA3BADC1B4}"/>
            </a:ext>
          </a:extLst>
        </xdr:cNvPr>
        <xdr:cNvSpPr/>
      </xdr:nvSpPr>
      <xdr:spPr>
        <a:xfrm>
          <a:off x="6309360" y="3124200"/>
          <a:ext cx="2095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tally to Loader  &gt;&gt;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0</xdr:row>
      <xdr:rowOff>0</xdr:rowOff>
    </xdr:from>
    <xdr:to>
      <xdr:col>14</xdr:col>
      <xdr:colOff>504190</xdr:colOff>
      <xdr:row>1</xdr:row>
      <xdr:rowOff>155575</xdr:rowOff>
    </xdr:to>
    <xdr:sp macro="SendHandBuildToLoader" textlink="">
      <xdr:nvSpPr>
        <xdr:cNvPr id="2" name="btnSendHandBuild">
          <a:extLst>
            <a:ext uri="{FF2B5EF4-FFF2-40B4-BE49-F238E27FC236}">
              <a16:creationId xmlns:a16="http://schemas.microsoft.com/office/drawing/2014/main" id="{4F0CED1E-067E-3DDD-868A-0B850F73D145}"/>
            </a:ext>
          </a:extLst>
        </xdr:cNvPr>
        <xdr:cNvSpPr/>
      </xdr:nvSpPr>
      <xdr:spPr>
        <a:xfrm>
          <a:off x="7749540" y="0"/>
          <a:ext cx="2603500" cy="431800"/>
        </a:xfrm>
        <a:prstGeom prst="roundRect">
          <a:avLst/>
        </a:prstGeom>
        <a:solidFill>
          <a:srgbClr val="1F4E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Send hand-built tally to Loader 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11</xdr:col>
      <xdr:colOff>727075</xdr:colOff>
      <xdr:row>13</xdr:row>
      <xdr:rowOff>196850</xdr:rowOff>
    </xdr:to>
    <xdr:sp macro="" textlink="">
      <xdr:nvSpPr>
        <xdr:cNvPr id="2" name="diag_1">
          <a:extLst>
            <a:ext uri="{FF2B5EF4-FFF2-40B4-BE49-F238E27FC236}">
              <a16:creationId xmlns:a16="http://schemas.microsoft.com/office/drawing/2014/main" id="{8CE07D55-42CE-AC7A-32B6-172F34F6A80A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196850</xdr:rowOff>
    </xdr:from>
    <xdr:to>
      <xdr:col>0</xdr:col>
      <xdr:colOff>520700</xdr:colOff>
      <xdr:row>14</xdr:row>
      <xdr:rowOff>98425</xdr:rowOff>
    </xdr:to>
    <xdr:sp macro="" textlink="">
      <xdr:nvSpPr>
        <xdr:cNvPr id="3" name="diag_2">
          <a:extLst>
            <a:ext uri="{FF2B5EF4-FFF2-40B4-BE49-F238E27FC236}">
              <a16:creationId xmlns:a16="http://schemas.microsoft.com/office/drawing/2014/main" id="{D78097F1-3DAC-74AA-217B-1AE866572139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196850</xdr:rowOff>
    </xdr:from>
    <xdr:to>
      <xdr:col>2</xdr:col>
      <xdr:colOff>546100</xdr:colOff>
      <xdr:row>14</xdr:row>
      <xdr:rowOff>98425</xdr:rowOff>
    </xdr:to>
    <xdr:sp macro="" textlink="">
      <xdr:nvSpPr>
        <xdr:cNvPr id="5" name="diag_3">
          <a:extLst>
            <a:ext uri="{FF2B5EF4-FFF2-40B4-BE49-F238E27FC236}">
              <a16:creationId xmlns:a16="http://schemas.microsoft.com/office/drawing/2014/main" id="{38BC50CC-74AE-161E-ED7B-459B40F1A3DB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13</xdr:row>
      <xdr:rowOff>196850</xdr:rowOff>
    </xdr:from>
    <xdr:to>
      <xdr:col>4</xdr:col>
      <xdr:colOff>438150</xdr:colOff>
      <xdr:row>14</xdr:row>
      <xdr:rowOff>98425</xdr:rowOff>
    </xdr:to>
    <xdr:sp macro="" textlink="">
      <xdr:nvSpPr>
        <xdr:cNvPr id="6" name="diag_4">
          <a:extLst>
            <a:ext uri="{FF2B5EF4-FFF2-40B4-BE49-F238E27FC236}">
              <a16:creationId xmlns:a16="http://schemas.microsoft.com/office/drawing/2014/main" id="{6AE25A64-8A7B-0C44-C309-5EC1B0AAED49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196850</xdr:rowOff>
    </xdr:from>
    <xdr:to>
      <xdr:col>6</xdr:col>
      <xdr:colOff>187325</xdr:colOff>
      <xdr:row>14</xdr:row>
      <xdr:rowOff>98425</xdr:rowOff>
    </xdr:to>
    <xdr:sp macro="" textlink="">
      <xdr:nvSpPr>
        <xdr:cNvPr id="7" name="diag_5">
          <a:extLst>
            <a:ext uri="{FF2B5EF4-FFF2-40B4-BE49-F238E27FC236}">
              <a16:creationId xmlns:a16="http://schemas.microsoft.com/office/drawing/2014/main" id="{63739E0D-2C8C-C6ED-1FF7-37CA73C2B545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13</xdr:row>
      <xdr:rowOff>196850</xdr:rowOff>
    </xdr:from>
    <xdr:to>
      <xdr:col>8</xdr:col>
      <xdr:colOff>79375</xdr:colOff>
      <xdr:row>14</xdr:row>
      <xdr:rowOff>98425</xdr:rowOff>
    </xdr:to>
    <xdr:sp macro="" textlink="">
      <xdr:nvSpPr>
        <xdr:cNvPr id="8" name="diag_6">
          <a:extLst>
            <a:ext uri="{FF2B5EF4-FFF2-40B4-BE49-F238E27FC236}">
              <a16:creationId xmlns:a16="http://schemas.microsoft.com/office/drawing/2014/main" id="{D7CC7A54-6A8E-AE43-3537-3BA19A39FE35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13</xdr:row>
      <xdr:rowOff>196850</xdr:rowOff>
    </xdr:from>
    <xdr:to>
      <xdr:col>9</xdr:col>
      <xdr:colOff>723900</xdr:colOff>
      <xdr:row>14</xdr:row>
      <xdr:rowOff>98425</xdr:rowOff>
    </xdr:to>
    <xdr:sp macro="" textlink="">
      <xdr:nvSpPr>
        <xdr:cNvPr id="9" name="diag_7">
          <a:extLst>
            <a:ext uri="{FF2B5EF4-FFF2-40B4-BE49-F238E27FC236}">
              <a16:creationId xmlns:a16="http://schemas.microsoft.com/office/drawing/2014/main" id="{EF726832-F8BE-181B-1760-57DB5327D1B7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13</xdr:row>
      <xdr:rowOff>196850</xdr:rowOff>
    </xdr:from>
    <xdr:to>
      <xdr:col>11</xdr:col>
      <xdr:colOff>892175</xdr:colOff>
      <xdr:row>14</xdr:row>
      <xdr:rowOff>98425</xdr:rowOff>
    </xdr:to>
    <xdr:sp macro="" textlink="">
      <xdr:nvSpPr>
        <xdr:cNvPr id="10" name="diag_8">
          <a:extLst>
            <a:ext uri="{FF2B5EF4-FFF2-40B4-BE49-F238E27FC236}">
              <a16:creationId xmlns:a16="http://schemas.microsoft.com/office/drawing/2014/main" id="{34323F13-B327-3344-40CE-5863BC663FB6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98425</xdr:rowOff>
    </xdr:from>
    <xdr:to>
      <xdr:col>0</xdr:col>
      <xdr:colOff>355600</xdr:colOff>
      <xdr:row>15</xdr:row>
      <xdr:rowOff>139192</xdr:rowOff>
    </xdr:to>
    <xdr:sp macro="" textlink="">
      <xdr:nvSpPr>
        <xdr:cNvPr id="11" name="diag_9">
          <a:extLst>
            <a:ext uri="{FF2B5EF4-FFF2-40B4-BE49-F238E27FC236}">
              <a16:creationId xmlns:a16="http://schemas.microsoft.com/office/drawing/2014/main" id="{FCF90824-6A9D-7BFE-708A-CF9B6EA0E067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2" name="diag_10">
          <a:extLst>
            <a:ext uri="{FF2B5EF4-FFF2-40B4-BE49-F238E27FC236}">
              <a16:creationId xmlns:a16="http://schemas.microsoft.com/office/drawing/2014/main" id="{CCDC9B60-0E8B-BD71-3689-16432538D313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98425</xdr:rowOff>
    </xdr:from>
    <xdr:to>
      <xdr:col>3</xdr:col>
      <xdr:colOff>94192</xdr:colOff>
      <xdr:row>15</xdr:row>
      <xdr:rowOff>139192</xdr:rowOff>
    </xdr:to>
    <xdr:sp macro="" textlink="">
      <xdr:nvSpPr>
        <xdr:cNvPr id="13" name="diag_11">
          <a:extLst>
            <a:ext uri="{FF2B5EF4-FFF2-40B4-BE49-F238E27FC236}">
              <a16:creationId xmlns:a16="http://schemas.microsoft.com/office/drawing/2014/main" id="{41CE8587-830C-08E1-0590-8D6BCF9B20B6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14</xdr:row>
      <xdr:rowOff>98425</xdr:rowOff>
    </xdr:from>
    <xdr:to>
      <xdr:col>5</xdr:col>
      <xdr:colOff>309033</xdr:colOff>
      <xdr:row>15</xdr:row>
      <xdr:rowOff>139192</xdr:rowOff>
    </xdr:to>
    <xdr:sp macro="" textlink="">
      <xdr:nvSpPr>
        <xdr:cNvPr id="14" name="diag_12">
          <a:extLst>
            <a:ext uri="{FF2B5EF4-FFF2-40B4-BE49-F238E27FC236}">
              <a16:creationId xmlns:a16="http://schemas.microsoft.com/office/drawing/2014/main" id="{930CCC76-8A4E-F195-461B-9EAA211DFF3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98425</xdr:rowOff>
    </xdr:from>
    <xdr:to>
      <xdr:col>7</xdr:col>
      <xdr:colOff>666750</xdr:colOff>
      <xdr:row>15</xdr:row>
      <xdr:rowOff>139192</xdr:rowOff>
    </xdr:to>
    <xdr:sp macro="" textlink="">
      <xdr:nvSpPr>
        <xdr:cNvPr id="15" name="diag_13">
          <a:extLst>
            <a:ext uri="{FF2B5EF4-FFF2-40B4-BE49-F238E27FC236}">
              <a16:creationId xmlns:a16="http://schemas.microsoft.com/office/drawing/2014/main" id="{A3FB4A3B-0622-46E7-A3D4-379604AE4344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14</xdr:row>
      <xdr:rowOff>98425</xdr:rowOff>
    </xdr:from>
    <xdr:to>
      <xdr:col>10</xdr:col>
      <xdr:colOff>271992</xdr:colOff>
      <xdr:row>15</xdr:row>
      <xdr:rowOff>139192</xdr:rowOff>
    </xdr:to>
    <xdr:sp macro="" textlink="">
      <xdr:nvSpPr>
        <xdr:cNvPr id="16" name="diag_14">
          <a:extLst>
            <a:ext uri="{FF2B5EF4-FFF2-40B4-BE49-F238E27FC236}">
              <a16:creationId xmlns:a16="http://schemas.microsoft.com/office/drawing/2014/main" id="{0BD30FA5-2A49-3415-1338-76037FB0209B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14</xdr:row>
      <xdr:rowOff>98425</xdr:rowOff>
    </xdr:from>
    <xdr:to>
      <xdr:col>11</xdr:col>
      <xdr:colOff>727075</xdr:colOff>
      <xdr:row>15</xdr:row>
      <xdr:rowOff>139192</xdr:rowOff>
    </xdr:to>
    <xdr:sp macro="" textlink="">
      <xdr:nvSpPr>
        <xdr:cNvPr id="17" name="diag_15">
          <a:extLst>
            <a:ext uri="{FF2B5EF4-FFF2-40B4-BE49-F238E27FC236}">
              <a16:creationId xmlns:a16="http://schemas.microsoft.com/office/drawing/2014/main" id="{62EEAE7B-CC1F-3F1D-82BA-A71F361FCB2F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164592</xdr:rowOff>
    </xdr:from>
    <xdr:to>
      <xdr:col>0</xdr:col>
      <xdr:colOff>355600</xdr:colOff>
      <xdr:row>16</xdr:row>
      <xdr:rowOff>205359</xdr:rowOff>
    </xdr:to>
    <xdr:sp macro="" textlink="">
      <xdr:nvSpPr>
        <xdr:cNvPr id="18" name="diag_16">
          <a:extLst>
            <a:ext uri="{FF2B5EF4-FFF2-40B4-BE49-F238E27FC236}">
              <a16:creationId xmlns:a16="http://schemas.microsoft.com/office/drawing/2014/main" id="{E34FC953-2810-1B3C-58A7-35F10F0D9A12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19" name="diag_17">
          <a:extLst>
            <a:ext uri="{FF2B5EF4-FFF2-40B4-BE49-F238E27FC236}">
              <a16:creationId xmlns:a16="http://schemas.microsoft.com/office/drawing/2014/main" id="{90414A47-6602-3887-D9AC-C036F89FF13D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164592</xdr:rowOff>
    </xdr:from>
    <xdr:to>
      <xdr:col>3</xdr:col>
      <xdr:colOff>94192</xdr:colOff>
      <xdr:row>16</xdr:row>
      <xdr:rowOff>205359</xdr:rowOff>
    </xdr:to>
    <xdr:sp macro="" textlink="">
      <xdr:nvSpPr>
        <xdr:cNvPr id="20" name="diag_18">
          <a:extLst>
            <a:ext uri="{FF2B5EF4-FFF2-40B4-BE49-F238E27FC236}">
              <a16:creationId xmlns:a16="http://schemas.microsoft.com/office/drawing/2014/main" id="{D94026E2-7364-5434-D35E-F6E336C2C22F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15</xdr:row>
      <xdr:rowOff>164592</xdr:rowOff>
    </xdr:from>
    <xdr:to>
      <xdr:col>5</xdr:col>
      <xdr:colOff>309033</xdr:colOff>
      <xdr:row>16</xdr:row>
      <xdr:rowOff>205359</xdr:rowOff>
    </xdr:to>
    <xdr:sp macro="" textlink="">
      <xdr:nvSpPr>
        <xdr:cNvPr id="21" name="diag_19">
          <a:extLst>
            <a:ext uri="{FF2B5EF4-FFF2-40B4-BE49-F238E27FC236}">
              <a16:creationId xmlns:a16="http://schemas.microsoft.com/office/drawing/2014/main" id="{00F541AF-ABE6-0EB1-72BF-08C0ED27324A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164592</xdr:rowOff>
    </xdr:from>
    <xdr:to>
      <xdr:col>7</xdr:col>
      <xdr:colOff>666750</xdr:colOff>
      <xdr:row>16</xdr:row>
      <xdr:rowOff>205359</xdr:rowOff>
    </xdr:to>
    <xdr:sp macro="" textlink="">
      <xdr:nvSpPr>
        <xdr:cNvPr id="22" name="diag_20">
          <a:extLst>
            <a:ext uri="{FF2B5EF4-FFF2-40B4-BE49-F238E27FC236}">
              <a16:creationId xmlns:a16="http://schemas.microsoft.com/office/drawing/2014/main" id="{43F598C8-1E3F-CD0B-89C9-0FFD88CA9FA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15</xdr:row>
      <xdr:rowOff>164592</xdr:rowOff>
    </xdr:from>
    <xdr:to>
      <xdr:col>10</xdr:col>
      <xdr:colOff>271992</xdr:colOff>
      <xdr:row>16</xdr:row>
      <xdr:rowOff>205359</xdr:rowOff>
    </xdr:to>
    <xdr:sp macro="" textlink="">
      <xdr:nvSpPr>
        <xdr:cNvPr id="23" name="diag_21">
          <a:extLst>
            <a:ext uri="{FF2B5EF4-FFF2-40B4-BE49-F238E27FC236}">
              <a16:creationId xmlns:a16="http://schemas.microsoft.com/office/drawing/2014/main" id="{DCD0BDF4-D7B4-DD3D-25CE-924DC528B90F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15</xdr:row>
      <xdr:rowOff>164592</xdr:rowOff>
    </xdr:from>
    <xdr:to>
      <xdr:col>11</xdr:col>
      <xdr:colOff>727075</xdr:colOff>
      <xdr:row>16</xdr:row>
      <xdr:rowOff>205359</xdr:rowOff>
    </xdr:to>
    <xdr:sp macro="" textlink="">
      <xdr:nvSpPr>
        <xdr:cNvPr id="24" name="diag_22">
          <a:extLst>
            <a:ext uri="{FF2B5EF4-FFF2-40B4-BE49-F238E27FC236}">
              <a16:creationId xmlns:a16="http://schemas.microsoft.com/office/drawing/2014/main" id="{D66C835E-BC5B-095E-B016-B7495B7A653E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230759</xdr:rowOff>
    </xdr:from>
    <xdr:to>
      <xdr:col>0</xdr:col>
      <xdr:colOff>355600</xdr:colOff>
      <xdr:row>18</xdr:row>
      <xdr:rowOff>33401</xdr:rowOff>
    </xdr:to>
    <xdr:sp macro="" textlink="">
      <xdr:nvSpPr>
        <xdr:cNvPr id="25" name="diag_23">
          <a:extLst>
            <a:ext uri="{FF2B5EF4-FFF2-40B4-BE49-F238E27FC236}">
              <a16:creationId xmlns:a16="http://schemas.microsoft.com/office/drawing/2014/main" id="{5C4AD513-3AD3-4A69-3B4E-86D6BA61DE37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26" name="diag_24">
          <a:extLst>
            <a:ext uri="{FF2B5EF4-FFF2-40B4-BE49-F238E27FC236}">
              <a16:creationId xmlns:a16="http://schemas.microsoft.com/office/drawing/2014/main" id="{31117D1F-F9A4-0475-0067-E818366D7359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230759</xdr:rowOff>
    </xdr:from>
    <xdr:to>
      <xdr:col>3</xdr:col>
      <xdr:colOff>94192</xdr:colOff>
      <xdr:row>18</xdr:row>
      <xdr:rowOff>33401</xdr:rowOff>
    </xdr:to>
    <xdr:sp macro="" textlink="">
      <xdr:nvSpPr>
        <xdr:cNvPr id="27" name="diag_25">
          <a:extLst>
            <a:ext uri="{FF2B5EF4-FFF2-40B4-BE49-F238E27FC236}">
              <a16:creationId xmlns:a16="http://schemas.microsoft.com/office/drawing/2014/main" id="{F13B260A-6E6A-CE5A-8DAE-3490C8BE58D5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16</xdr:row>
      <xdr:rowOff>230759</xdr:rowOff>
    </xdr:from>
    <xdr:to>
      <xdr:col>5</xdr:col>
      <xdr:colOff>309033</xdr:colOff>
      <xdr:row>18</xdr:row>
      <xdr:rowOff>33401</xdr:rowOff>
    </xdr:to>
    <xdr:sp macro="" textlink="">
      <xdr:nvSpPr>
        <xdr:cNvPr id="28" name="diag_26">
          <a:extLst>
            <a:ext uri="{FF2B5EF4-FFF2-40B4-BE49-F238E27FC236}">
              <a16:creationId xmlns:a16="http://schemas.microsoft.com/office/drawing/2014/main" id="{F906B9E4-B7A6-7D9B-D55D-4A8E8E145E17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230759</xdr:rowOff>
    </xdr:from>
    <xdr:to>
      <xdr:col>7</xdr:col>
      <xdr:colOff>666750</xdr:colOff>
      <xdr:row>18</xdr:row>
      <xdr:rowOff>33401</xdr:rowOff>
    </xdr:to>
    <xdr:sp macro="" textlink="">
      <xdr:nvSpPr>
        <xdr:cNvPr id="29" name="diag_27">
          <a:extLst>
            <a:ext uri="{FF2B5EF4-FFF2-40B4-BE49-F238E27FC236}">
              <a16:creationId xmlns:a16="http://schemas.microsoft.com/office/drawing/2014/main" id="{E851FD62-7C5F-A16A-888C-DFA350D6DF5E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16</xdr:row>
      <xdr:rowOff>230759</xdr:rowOff>
    </xdr:from>
    <xdr:to>
      <xdr:col>10</xdr:col>
      <xdr:colOff>271992</xdr:colOff>
      <xdr:row>18</xdr:row>
      <xdr:rowOff>33401</xdr:rowOff>
    </xdr:to>
    <xdr:sp macro="" textlink="">
      <xdr:nvSpPr>
        <xdr:cNvPr id="30" name="diag_28">
          <a:extLst>
            <a:ext uri="{FF2B5EF4-FFF2-40B4-BE49-F238E27FC236}">
              <a16:creationId xmlns:a16="http://schemas.microsoft.com/office/drawing/2014/main" id="{CE75BDE2-33CE-3B6E-C61C-9B7BBEED4AAA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271992</xdr:colOff>
      <xdr:row>16</xdr:row>
      <xdr:rowOff>230759</xdr:rowOff>
    </xdr:from>
    <xdr:to>
      <xdr:col>11</xdr:col>
      <xdr:colOff>727075</xdr:colOff>
      <xdr:row>18</xdr:row>
      <xdr:rowOff>33401</xdr:rowOff>
    </xdr:to>
    <xdr:sp macro="" textlink="">
      <xdr:nvSpPr>
        <xdr:cNvPr id="31" name="diag_29">
          <a:extLst>
            <a:ext uri="{FF2B5EF4-FFF2-40B4-BE49-F238E27FC236}">
              <a16:creationId xmlns:a16="http://schemas.microsoft.com/office/drawing/2014/main" id="{23EC262C-0367-FA64-2231-125A719B88BA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58801</xdr:rowOff>
    </xdr:from>
    <xdr:to>
      <xdr:col>0</xdr:col>
      <xdr:colOff>355600</xdr:colOff>
      <xdr:row>19</xdr:row>
      <xdr:rowOff>99568</xdr:rowOff>
    </xdr:to>
    <xdr:sp macro="" textlink="">
      <xdr:nvSpPr>
        <xdr:cNvPr id="1792" name="diag_30">
          <a:extLst>
            <a:ext uri="{FF2B5EF4-FFF2-40B4-BE49-F238E27FC236}">
              <a16:creationId xmlns:a16="http://schemas.microsoft.com/office/drawing/2014/main" id="{3BFCED28-D6F9-AF21-D897-0C7D28EC49EA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3" name="diag_31">
          <a:extLst>
            <a:ext uri="{FF2B5EF4-FFF2-40B4-BE49-F238E27FC236}">
              <a16:creationId xmlns:a16="http://schemas.microsoft.com/office/drawing/2014/main" id="{66BA7C2F-A493-21D3-0792-6FD742A8C6D8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58801</xdr:rowOff>
    </xdr:from>
    <xdr:to>
      <xdr:col>3</xdr:col>
      <xdr:colOff>94192</xdr:colOff>
      <xdr:row>19</xdr:row>
      <xdr:rowOff>99568</xdr:rowOff>
    </xdr:to>
    <xdr:sp macro="" textlink="">
      <xdr:nvSpPr>
        <xdr:cNvPr id="1794" name="diag_32">
          <a:extLst>
            <a:ext uri="{FF2B5EF4-FFF2-40B4-BE49-F238E27FC236}">
              <a16:creationId xmlns:a16="http://schemas.microsoft.com/office/drawing/2014/main" id="{FE3A42A6-F897-34DB-77D2-D3CA0559E8E5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94192</xdr:colOff>
      <xdr:row>18</xdr:row>
      <xdr:rowOff>58801</xdr:rowOff>
    </xdr:from>
    <xdr:to>
      <xdr:col>5</xdr:col>
      <xdr:colOff>309033</xdr:colOff>
      <xdr:row>19</xdr:row>
      <xdr:rowOff>99568</xdr:rowOff>
    </xdr:to>
    <xdr:sp macro="" textlink="">
      <xdr:nvSpPr>
        <xdr:cNvPr id="1795" name="diag_33">
          <a:extLst>
            <a:ext uri="{FF2B5EF4-FFF2-40B4-BE49-F238E27FC236}">
              <a16:creationId xmlns:a16="http://schemas.microsoft.com/office/drawing/2014/main" id="{C64839B6-F3FE-EC91-1B74-EA0514213732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58801</xdr:rowOff>
    </xdr:from>
    <xdr:to>
      <xdr:col>7</xdr:col>
      <xdr:colOff>666750</xdr:colOff>
      <xdr:row>19</xdr:row>
      <xdr:rowOff>99568</xdr:rowOff>
    </xdr:to>
    <xdr:sp macro="" textlink="">
      <xdr:nvSpPr>
        <xdr:cNvPr id="1796" name="diag_34">
          <a:extLst>
            <a:ext uri="{FF2B5EF4-FFF2-40B4-BE49-F238E27FC236}">
              <a16:creationId xmlns:a16="http://schemas.microsoft.com/office/drawing/2014/main" id="{09D66E45-26C8-8694-075B-2939BB0D118A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666750</xdr:colOff>
      <xdr:row>18</xdr:row>
      <xdr:rowOff>58801</xdr:rowOff>
    </xdr:from>
    <xdr:to>
      <xdr:col>9</xdr:col>
      <xdr:colOff>558800</xdr:colOff>
      <xdr:row>19</xdr:row>
      <xdr:rowOff>99568</xdr:rowOff>
    </xdr:to>
    <xdr:sp macro="" textlink="">
      <xdr:nvSpPr>
        <xdr:cNvPr id="1797" name="diag_35">
          <a:extLst>
            <a:ext uri="{FF2B5EF4-FFF2-40B4-BE49-F238E27FC236}">
              <a16:creationId xmlns:a16="http://schemas.microsoft.com/office/drawing/2014/main" id="{F1342EDE-CFAB-8CD5-0EC4-1F463BC87A1B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18</xdr:row>
      <xdr:rowOff>58801</xdr:rowOff>
    </xdr:from>
    <xdr:to>
      <xdr:col>11</xdr:col>
      <xdr:colOff>727075</xdr:colOff>
      <xdr:row>19</xdr:row>
      <xdr:rowOff>99568</xdr:rowOff>
    </xdr:to>
    <xdr:sp macro="" textlink="">
      <xdr:nvSpPr>
        <xdr:cNvPr id="1798" name="diag_36">
          <a:extLst>
            <a:ext uri="{FF2B5EF4-FFF2-40B4-BE49-F238E27FC236}">
              <a16:creationId xmlns:a16="http://schemas.microsoft.com/office/drawing/2014/main" id="{C432BB9F-8AD9-FB64-9244-0534305F748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124968</xdr:rowOff>
    </xdr:from>
    <xdr:to>
      <xdr:col>0</xdr:col>
      <xdr:colOff>355600</xdr:colOff>
      <xdr:row>20</xdr:row>
      <xdr:rowOff>165735</xdr:rowOff>
    </xdr:to>
    <xdr:sp macro="" textlink="">
      <xdr:nvSpPr>
        <xdr:cNvPr id="1799" name="diag_37">
          <a:extLst>
            <a:ext uri="{FF2B5EF4-FFF2-40B4-BE49-F238E27FC236}">
              <a16:creationId xmlns:a16="http://schemas.microsoft.com/office/drawing/2014/main" id="{2DC70129-8033-3D95-9EEE-C91949C7B7D7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0" name="diag_38">
          <a:extLst>
            <a:ext uri="{FF2B5EF4-FFF2-40B4-BE49-F238E27FC236}">
              <a16:creationId xmlns:a16="http://schemas.microsoft.com/office/drawing/2014/main" id="{DACCECB0-88FD-7D28-6CBE-C91528E48F1A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124968</xdr:rowOff>
    </xdr:from>
    <xdr:to>
      <xdr:col>2</xdr:col>
      <xdr:colOff>613833</xdr:colOff>
      <xdr:row>20</xdr:row>
      <xdr:rowOff>165735</xdr:rowOff>
    </xdr:to>
    <xdr:sp macro="" textlink="">
      <xdr:nvSpPr>
        <xdr:cNvPr id="1801" name="diag_39">
          <a:extLst>
            <a:ext uri="{FF2B5EF4-FFF2-40B4-BE49-F238E27FC236}">
              <a16:creationId xmlns:a16="http://schemas.microsoft.com/office/drawing/2014/main" id="{4BB1613A-9B53-C5F4-7061-23AF30491A08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124968</xdr:rowOff>
    </xdr:from>
    <xdr:to>
      <xdr:col>4</xdr:col>
      <xdr:colOff>738717</xdr:colOff>
      <xdr:row>20</xdr:row>
      <xdr:rowOff>165735</xdr:rowOff>
    </xdr:to>
    <xdr:sp macro="" textlink="">
      <xdr:nvSpPr>
        <xdr:cNvPr id="1802" name="diag_40">
          <a:extLst>
            <a:ext uri="{FF2B5EF4-FFF2-40B4-BE49-F238E27FC236}">
              <a16:creationId xmlns:a16="http://schemas.microsoft.com/office/drawing/2014/main" id="{DF3AD082-E1B0-6F98-ACF0-EF72EC420B7F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19</xdr:row>
      <xdr:rowOff>124968</xdr:rowOff>
    </xdr:from>
    <xdr:to>
      <xdr:col>6</xdr:col>
      <xdr:colOff>720725</xdr:colOff>
      <xdr:row>20</xdr:row>
      <xdr:rowOff>165735</xdr:rowOff>
    </xdr:to>
    <xdr:sp macro="" textlink="">
      <xdr:nvSpPr>
        <xdr:cNvPr id="1803" name="diag_41">
          <a:extLst>
            <a:ext uri="{FF2B5EF4-FFF2-40B4-BE49-F238E27FC236}">
              <a16:creationId xmlns:a16="http://schemas.microsoft.com/office/drawing/2014/main" id="{800C461A-6A0E-476F-7D94-3EAE1371903F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19</xdr:row>
      <xdr:rowOff>124968</xdr:rowOff>
    </xdr:from>
    <xdr:to>
      <xdr:col>9</xdr:col>
      <xdr:colOff>93133</xdr:colOff>
      <xdr:row>20</xdr:row>
      <xdr:rowOff>165735</xdr:rowOff>
    </xdr:to>
    <xdr:sp macro="" textlink="">
      <xdr:nvSpPr>
        <xdr:cNvPr id="1804" name="diag_42">
          <a:extLst>
            <a:ext uri="{FF2B5EF4-FFF2-40B4-BE49-F238E27FC236}">
              <a16:creationId xmlns:a16="http://schemas.microsoft.com/office/drawing/2014/main" id="{49729F1C-2903-3DC0-88E8-356CF5E235F4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19</xdr:row>
      <xdr:rowOff>124968</xdr:rowOff>
    </xdr:from>
    <xdr:to>
      <xdr:col>10</xdr:col>
      <xdr:colOff>271991</xdr:colOff>
      <xdr:row>20</xdr:row>
      <xdr:rowOff>165735</xdr:rowOff>
    </xdr:to>
    <xdr:sp macro="" textlink="">
      <xdr:nvSpPr>
        <xdr:cNvPr id="1805" name="diag_43">
          <a:extLst>
            <a:ext uri="{FF2B5EF4-FFF2-40B4-BE49-F238E27FC236}">
              <a16:creationId xmlns:a16="http://schemas.microsoft.com/office/drawing/2014/main" id="{2990800A-84A3-1DDD-7397-CBD733F6F2A3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19</xdr:row>
      <xdr:rowOff>124968</xdr:rowOff>
    </xdr:from>
    <xdr:to>
      <xdr:col>11</xdr:col>
      <xdr:colOff>727075</xdr:colOff>
      <xdr:row>20</xdr:row>
      <xdr:rowOff>165735</xdr:rowOff>
    </xdr:to>
    <xdr:sp macro="" textlink="">
      <xdr:nvSpPr>
        <xdr:cNvPr id="1806" name="diag_44">
          <a:extLst>
            <a:ext uri="{FF2B5EF4-FFF2-40B4-BE49-F238E27FC236}">
              <a16:creationId xmlns:a16="http://schemas.microsoft.com/office/drawing/2014/main" id="{76C535AF-1F3C-1438-1258-02CB57BA1CC0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54610</xdr:rowOff>
    </xdr:from>
    <xdr:to>
      <xdr:col>11</xdr:col>
      <xdr:colOff>727075</xdr:colOff>
      <xdr:row>21</xdr:row>
      <xdr:rowOff>232410</xdr:rowOff>
    </xdr:to>
    <xdr:sp macro="" textlink="">
      <xdr:nvSpPr>
        <xdr:cNvPr id="1807" name="diag_45">
          <a:extLst>
            <a:ext uri="{FF2B5EF4-FFF2-40B4-BE49-F238E27FC236}">
              <a16:creationId xmlns:a16="http://schemas.microsoft.com/office/drawing/2014/main" id="{8E751B43-DBF2-FF00-BB47-D306A3A540DA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232410</xdr:rowOff>
    </xdr:from>
    <xdr:to>
      <xdr:col>0</xdr:col>
      <xdr:colOff>520700</xdr:colOff>
      <xdr:row>22</xdr:row>
      <xdr:rowOff>133985</xdr:rowOff>
    </xdr:to>
    <xdr:sp macro="" textlink="">
      <xdr:nvSpPr>
        <xdr:cNvPr id="1808" name="diag_46">
          <a:extLst>
            <a:ext uri="{FF2B5EF4-FFF2-40B4-BE49-F238E27FC236}">
              <a16:creationId xmlns:a16="http://schemas.microsoft.com/office/drawing/2014/main" id="{57342330-6D84-5A4C-3BFF-4F1AB8111098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232410</xdr:rowOff>
    </xdr:from>
    <xdr:to>
      <xdr:col>2</xdr:col>
      <xdr:colOff>546100</xdr:colOff>
      <xdr:row>22</xdr:row>
      <xdr:rowOff>133985</xdr:rowOff>
    </xdr:to>
    <xdr:sp macro="" textlink="">
      <xdr:nvSpPr>
        <xdr:cNvPr id="1809" name="diag_47">
          <a:extLst>
            <a:ext uri="{FF2B5EF4-FFF2-40B4-BE49-F238E27FC236}">
              <a16:creationId xmlns:a16="http://schemas.microsoft.com/office/drawing/2014/main" id="{00ACC86E-4E38-0D0A-4FD7-0FD94594F0C8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107950</xdr:colOff>
      <xdr:row>21</xdr:row>
      <xdr:rowOff>232410</xdr:rowOff>
    </xdr:from>
    <xdr:to>
      <xdr:col>4</xdr:col>
      <xdr:colOff>438150</xdr:colOff>
      <xdr:row>22</xdr:row>
      <xdr:rowOff>133985</xdr:rowOff>
    </xdr:to>
    <xdr:sp macro="" textlink="">
      <xdr:nvSpPr>
        <xdr:cNvPr id="1810" name="diag_48">
          <a:extLst>
            <a:ext uri="{FF2B5EF4-FFF2-40B4-BE49-F238E27FC236}">
              <a16:creationId xmlns:a16="http://schemas.microsoft.com/office/drawing/2014/main" id="{BD5B46C9-D6E7-B893-3C34-DEB9FC6C97E6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232410</xdr:rowOff>
    </xdr:from>
    <xdr:to>
      <xdr:col>6</xdr:col>
      <xdr:colOff>187325</xdr:colOff>
      <xdr:row>22</xdr:row>
      <xdr:rowOff>133985</xdr:rowOff>
    </xdr:to>
    <xdr:sp macro="" textlink="">
      <xdr:nvSpPr>
        <xdr:cNvPr id="1811" name="diag_49">
          <a:extLst>
            <a:ext uri="{FF2B5EF4-FFF2-40B4-BE49-F238E27FC236}">
              <a16:creationId xmlns:a16="http://schemas.microsoft.com/office/drawing/2014/main" id="{1B8CEAAA-7E58-B83F-B1DF-9101ACB91864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501650</xdr:colOff>
      <xdr:row>21</xdr:row>
      <xdr:rowOff>232410</xdr:rowOff>
    </xdr:from>
    <xdr:to>
      <xdr:col>8</xdr:col>
      <xdr:colOff>79375</xdr:colOff>
      <xdr:row>22</xdr:row>
      <xdr:rowOff>133985</xdr:rowOff>
    </xdr:to>
    <xdr:sp macro="" textlink="">
      <xdr:nvSpPr>
        <xdr:cNvPr id="1812" name="diag_50">
          <a:extLst>
            <a:ext uri="{FF2B5EF4-FFF2-40B4-BE49-F238E27FC236}">
              <a16:creationId xmlns:a16="http://schemas.microsoft.com/office/drawing/2014/main" id="{63513E8B-D6A4-42FA-6E69-93202601A451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393700</xdr:colOff>
      <xdr:row>21</xdr:row>
      <xdr:rowOff>232410</xdr:rowOff>
    </xdr:from>
    <xdr:to>
      <xdr:col>9</xdr:col>
      <xdr:colOff>723900</xdr:colOff>
      <xdr:row>22</xdr:row>
      <xdr:rowOff>133985</xdr:rowOff>
    </xdr:to>
    <xdr:sp macro="" textlink="">
      <xdr:nvSpPr>
        <xdr:cNvPr id="1813" name="diag_51">
          <a:extLst>
            <a:ext uri="{FF2B5EF4-FFF2-40B4-BE49-F238E27FC236}">
              <a16:creationId xmlns:a16="http://schemas.microsoft.com/office/drawing/2014/main" id="{65ECA4D6-684E-3A31-3C60-5AC1D08C6265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561975</xdr:colOff>
      <xdr:row>21</xdr:row>
      <xdr:rowOff>232410</xdr:rowOff>
    </xdr:from>
    <xdr:to>
      <xdr:col>11</xdr:col>
      <xdr:colOff>892175</xdr:colOff>
      <xdr:row>22</xdr:row>
      <xdr:rowOff>133985</xdr:rowOff>
    </xdr:to>
    <xdr:sp macro="" textlink="">
      <xdr:nvSpPr>
        <xdr:cNvPr id="1814" name="diag_52">
          <a:extLst>
            <a:ext uri="{FF2B5EF4-FFF2-40B4-BE49-F238E27FC236}">
              <a16:creationId xmlns:a16="http://schemas.microsoft.com/office/drawing/2014/main" id="{35DA878C-410A-D0B3-64E1-86A7031D2EC2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133985</xdr:rowOff>
    </xdr:from>
    <xdr:to>
      <xdr:col>0</xdr:col>
      <xdr:colOff>355600</xdr:colOff>
      <xdr:row>23</xdr:row>
      <xdr:rowOff>174752</xdr:rowOff>
    </xdr:to>
    <xdr:sp macro="" textlink="">
      <xdr:nvSpPr>
        <xdr:cNvPr id="1815" name="diag_53">
          <a:extLst>
            <a:ext uri="{FF2B5EF4-FFF2-40B4-BE49-F238E27FC236}">
              <a16:creationId xmlns:a16="http://schemas.microsoft.com/office/drawing/2014/main" id="{6DC1FBA1-8929-3192-8DA9-2B74DCD4DC85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816" name="diag_54">
          <a:extLst>
            <a:ext uri="{FF2B5EF4-FFF2-40B4-BE49-F238E27FC236}">
              <a16:creationId xmlns:a16="http://schemas.microsoft.com/office/drawing/2014/main" id="{765DAD4F-0B6D-83D1-5825-CD1215F428D8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133985</xdr:rowOff>
    </xdr:from>
    <xdr:to>
      <xdr:col>2</xdr:col>
      <xdr:colOff>613833</xdr:colOff>
      <xdr:row>23</xdr:row>
      <xdr:rowOff>174752</xdr:rowOff>
    </xdr:to>
    <xdr:sp macro="" textlink="">
      <xdr:nvSpPr>
        <xdr:cNvPr id="1817" name="diag_55">
          <a:extLst>
            <a:ext uri="{FF2B5EF4-FFF2-40B4-BE49-F238E27FC236}">
              <a16:creationId xmlns:a16="http://schemas.microsoft.com/office/drawing/2014/main" id="{5F9DF30B-87DC-02AB-0698-24152AEF2391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133985</xdr:rowOff>
    </xdr:from>
    <xdr:to>
      <xdr:col>4</xdr:col>
      <xdr:colOff>738717</xdr:colOff>
      <xdr:row>23</xdr:row>
      <xdr:rowOff>174752</xdr:rowOff>
    </xdr:to>
    <xdr:sp macro="" textlink="">
      <xdr:nvSpPr>
        <xdr:cNvPr id="1818" name="diag_56">
          <a:extLst>
            <a:ext uri="{FF2B5EF4-FFF2-40B4-BE49-F238E27FC236}">
              <a16:creationId xmlns:a16="http://schemas.microsoft.com/office/drawing/2014/main" id="{ED376EE7-6421-6534-D4BF-D422F7CA031D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22</xdr:row>
      <xdr:rowOff>133985</xdr:rowOff>
    </xdr:from>
    <xdr:to>
      <xdr:col>6</xdr:col>
      <xdr:colOff>720725</xdr:colOff>
      <xdr:row>23</xdr:row>
      <xdr:rowOff>174752</xdr:rowOff>
    </xdr:to>
    <xdr:sp macro="" textlink="">
      <xdr:nvSpPr>
        <xdr:cNvPr id="1944" name="diag_57">
          <a:extLst>
            <a:ext uri="{FF2B5EF4-FFF2-40B4-BE49-F238E27FC236}">
              <a16:creationId xmlns:a16="http://schemas.microsoft.com/office/drawing/2014/main" id="{F3D70046-55D6-6B1E-905B-704ED236DFB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22</xdr:row>
      <xdr:rowOff>133985</xdr:rowOff>
    </xdr:from>
    <xdr:to>
      <xdr:col>9</xdr:col>
      <xdr:colOff>93133</xdr:colOff>
      <xdr:row>23</xdr:row>
      <xdr:rowOff>174752</xdr:rowOff>
    </xdr:to>
    <xdr:sp macro="" textlink="">
      <xdr:nvSpPr>
        <xdr:cNvPr id="1945" name="diag_58">
          <a:extLst>
            <a:ext uri="{FF2B5EF4-FFF2-40B4-BE49-F238E27FC236}">
              <a16:creationId xmlns:a16="http://schemas.microsoft.com/office/drawing/2014/main" id="{306D9E1B-A0C3-9355-56ED-52609E0C797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93133</xdr:colOff>
      <xdr:row>22</xdr:row>
      <xdr:rowOff>133985</xdr:rowOff>
    </xdr:from>
    <xdr:to>
      <xdr:col>10</xdr:col>
      <xdr:colOff>271991</xdr:colOff>
      <xdr:row>23</xdr:row>
      <xdr:rowOff>174752</xdr:rowOff>
    </xdr:to>
    <xdr:sp macro="" textlink="">
      <xdr:nvSpPr>
        <xdr:cNvPr id="1946" name="diag_59">
          <a:extLst>
            <a:ext uri="{FF2B5EF4-FFF2-40B4-BE49-F238E27FC236}">
              <a16:creationId xmlns:a16="http://schemas.microsoft.com/office/drawing/2014/main" id="{B529FAB7-5629-B546-EB2C-EB5A0360A534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271992</xdr:colOff>
      <xdr:row>22</xdr:row>
      <xdr:rowOff>133985</xdr:rowOff>
    </xdr:from>
    <xdr:to>
      <xdr:col>11</xdr:col>
      <xdr:colOff>727075</xdr:colOff>
      <xdr:row>23</xdr:row>
      <xdr:rowOff>174752</xdr:rowOff>
    </xdr:to>
    <xdr:sp macro="" textlink="">
      <xdr:nvSpPr>
        <xdr:cNvPr id="1947" name="diag_60">
          <a:extLst>
            <a:ext uri="{FF2B5EF4-FFF2-40B4-BE49-F238E27FC236}">
              <a16:creationId xmlns:a16="http://schemas.microsoft.com/office/drawing/2014/main" id="{7513EC91-3C4C-7396-5DE0-0F3EF6CEF5F3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2794</xdr:rowOff>
    </xdr:to>
    <xdr:sp macro="" textlink="">
      <xdr:nvSpPr>
        <xdr:cNvPr id="1948" name="diag_61">
          <a:extLst>
            <a:ext uri="{FF2B5EF4-FFF2-40B4-BE49-F238E27FC236}">
              <a16:creationId xmlns:a16="http://schemas.microsoft.com/office/drawing/2014/main" id="{8924F852-FE42-F61F-35B2-D882CD3B4D02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49" name="diag_62">
          <a:extLst>
            <a:ext uri="{FF2B5EF4-FFF2-40B4-BE49-F238E27FC236}">
              <a16:creationId xmlns:a16="http://schemas.microsoft.com/office/drawing/2014/main" id="{6D7268D6-C0A2-B1D8-9C29-0FB32F1B4C30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2794</xdr:rowOff>
    </xdr:to>
    <xdr:sp macro="" textlink="">
      <xdr:nvSpPr>
        <xdr:cNvPr id="1950" name="diag_63">
          <a:extLst>
            <a:ext uri="{FF2B5EF4-FFF2-40B4-BE49-F238E27FC236}">
              <a16:creationId xmlns:a16="http://schemas.microsoft.com/office/drawing/2014/main" id="{3AABF61C-D0F9-C496-D9DD-E7E957AD8F52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738717</xdr:colOff>
      <xdr:row>25</xdr:row>
      <xdr:rowOff>2794</xdr:rowOff>
    </xdr:to>
    <xdr:sp macro="" textlink="">
      <xdr:nvSpPr>
        <xdr:cNvPr id="1951" name="diag_64">
          <a:extLst>
            <a:ext uri="{FF2B5EF4-FFF2-40B4-BE49-F238E27FC236}">
              <a16:creationId xmlns:a16="http://schemas.microsoft.com/office/drawing/2014/main" id="{CBD83F8D-691C-DC32-CBB5-5CB03E929519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738717</xdr:colOff>
      <xdr:row>23</xdr:row>
      <xdr:rowOff>200152</xdr:rowOff>
    </xdr:from>
    <xdr:to>
      <xdr:col>6</xdr:col>
      <xdr:colOff>720725</xdr:colOff>
      <xdr:row>25</xdr:row>
      <xdr:rowOff>2794</xdr:rowOff>
    </xdr:to>
    <xdr:sp macro="" textlink="">
      <xdr:nvSpPr>
        <xdr:cNvPr id="1952" name="diag_65">
          <a:extLst>
            <a:ext uri="{FF2B5EF4-FFF2-40B4-BE49-F238E27FC236}">
              <a16:creationId xmlns:a16="http://schemas.microsoft.com/office/drawing/2014/main" id="{2E2394D2-6BAF-1963-B5AF-BEC86D8250F6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720725</xdr:colOff>
      <xdr:row>23</xdr:row>
      <xdr:rowOff>200152</xdr:rowOff>
    </xdr:from>
    <xdr:to>
      <xdr:col>8</xdr:col>
      <xdr:colOff>379942</xdr:colOff>
      <xdr:row>25</xdr:row>
      <xdr:rowOff>2794</xdr:rowOff>
    </xdr:to>
    <xdr:sp macro="" textlink="">
      <xdr:nvSpPr>
        <xdr:cNvPr id="1953" name="diag_66">
          <a:extLst>
            <a:ext uri="{FF2B5EF4-FFF2-40B4-BE49-F238E27FC236}">
              <a16:creationId xmlns:a16="http://schemas.microsoft.com/office/drawing/2014/main" id="{5B89C32A-994B-3CEA-29D9-3534A286255E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23</xdr:row>
      <xdr:rowOff>200152</xdr:rowOff>
    </xdr:from>
    <xdr:to>
      <xdr:col>10</xdr:col>
      <xdr:colOff>39158</xdr:colOff>
      <xdr:row>25</xdr:row>
      <xdr:rowOff>2794</xdr:rowOff>
    </xdr:to>
    <xdr:sp macro="" textlink="">
      <xdr:nvSpPr>
        <xdr:cNvPr id="1954" name="diag_67">
          <a:extLst>
            <a:ext uri="{FF2B5EF4-FFF2-40B4-BE49-F238E27FC236}">
              <a16:creationId xmlns:a16="http://schemas.microsoft.com/office/drawing/2014/main" id="{CCC8B5F2-396A-13E6-B529-F934CC51EE01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23</xdr:row>
      <xdr:rowOff>200152</xdr:rowOff>
    </xdr:from>
    <xdr:to>
      <xdr:col>11</xdr:col>
      <xdr:colOff>727075</xdr:colOff>
      <xdr:row>25</xdr:row>
      <xdr:rowOff>2794</xdr:rowOff>
    </xdr:to>
    <xdr:sp macro="" textlink="">
      <xdr:nvSpPr>
        <xdr:cNvPr id="1955" name="diag_68">
          <a:extLst>
            <a:ext uri="{FF2B5EF4-FFF2-40B4-BE49-F238E27FC236}">
              <a16:creationId xmlns:a16="http://schemas.microsoft.com/office/drawing/2014/main" id="{2673C020-D553-278E-4DED-9A4151365910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28194</xdr:rowOff>
    </xdr:from>
    <xdr:to>
      <xdr:col>0</xdr:col>
      <xdr:colOff>355600</xdr:colOff>
      <xdr:row>26</xdr:row>
      <xdr:rowOff>68961</xdr:rowOff>
    </xdr:to>
    <xdr:sp macro="" textlink="">
      <xdr:nvSpPr>
        <xdr:cNvPr id="1956" name="diag_69">
          <a:extLst>
            <a:ext uri="{FF2B5EF4-FFF2-40B4-BE49-F238E27FC236}">
              <a16:creationId xmlns:a16="http://schemas.microsoft.com/office/drawing/2014/main" id="{E3EC8DD8-E6E0-8238-EFB6-B56A6DE226C1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57" name="diag_70">
          <a:extLst>
            <a:ext uri="{FF2B5EF4-FFF2-40B4-BE49-F238E27FC236}">
              <a16:creationId xmlns:a16="http://schemas.microsoft.com/office/drawing/2014/main" id="{F1672025-74B7-7FE9-CF6B-BE57E44A2A56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28194</xdr:rowOff>
    </xdr:from>
    <xdr:to>
      <xdr:col>2</xdr:col>
      <xdr:colOff>381000</xdr:colOff>
      <xdr:row>26</xdr:row>
      <xdr:rowOff>68961</xdr:rowOff>
    </xdr:to>
    <xdr:sp macro="" textlink="">
      <xdr:nvSpPr>
        <xdr:cNvPr id="1958" name="diag_71">
          <a:extLst>
            <a:ext uri="{FF2B5EF4-FFF2-40B4-BE49-F238E27FC236}">
              <a16:creationId xmlns:a16="http://schemas.microsoft.com/office/drawing/2014/main" id="{CFA32AA5-2934-1CFD-3A7B-77D1A346ACD3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28194</xdr:rowOff>
    </xdr:from>
    <xdr:to>
      <xdr:col>4</xdr:col>
      <xdr:colOff>273050</xdr:colOff>
      <xdr:row>26</xdr:row>
      <xdr:rowOff>68961</xdr:rowOff>
    </xdr:to>
    <xdr:sp macro="" textlink="">
      <xdr:nvSpPr>
        <xdr:cNvPr id="1959" name="diag_72">
          <a:extLst>
            <a:ext uri="{FF2B5EF4-FFF2-40B4-BE49-F238E27FC236}">
              <a16:creationId xmlns:a16="http://schemas.microsoft.com/office/drawing/2014/main" id="{58D859E7-5A5F-8809-2C4C-DB296C666AFB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273050</xdr:colOff>
      <xdr:row>25</xdr:row>
      <xdr:rowOff>28194</xdr:rowOff>
    </xdr:from>
    <xdr:to>
      <xdr:col>6</xdr:col>
      <xdr:colOff>22225</xdr:colOff>
      <xdr:row>26</xdr:row>
      <xdr:rowOff>68961</xdr:rowOff>
    </xdr:to>
    <xdr:sp macro="" textlink="">
      <xdr:nvSpPr>
        <xdr:cNvPr id="1960" name="diag_73">
          <a:extLst>
            <a:ext uri="{FF2B5EF4-FFF2-40B4-BE49-F238E27FC236}">
              <a16:creationId xmlns:a16="http://schemas.microsoft.com/office/drawing/2014/main" id="{CA0EE7A4-48CF-148B-C443-D5454AB84ED3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22225</xdr:colOff>
      <xdr:row>25</xdr:row>
      <xdr:rowOff>28194</xdr:rowOff>
    </xdr:from>
    <xdr:to>
      <xdr:col>7</xdr:col>
      <xdr:colOff>666750</xdr:colOff>
      <xdr:row>26</xdr:row>
      <xdr:rowOff>68961</xdr:rowOff>
    </xdr:to>
    <xdr:sp macro="" textlink="">
      <xdr:nvSpPr>
        <xdr:cNvPr id="1961" name="diag_74">
          <a:extLst>
            <a:ext uri="{FF2B5EF4-FFF2-40B4-BE49-F238E27FC236}">
              <a16:creationId xmlns:a16="http://schemas.microsoft.com/office/drawing/2014/main" id="{A886CF87-A35C-1A0F-E0F7-B727D0E2E8D6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666750</xdr:colOff>
      <xdr:row>25</xdr:row>
      <xdr:rowOff>28194</xdr:rowOff>
    </xdr:from>
    <xdr:to>
      <xdr:col>9</xdr:col>
      <xdr:colOff>558800</xdr:colOff>
      <xdr:row>26</xdr:row>
      <xdr:rowOff>68961</xdr:rowOff>
    </xdr:to>
    <xdr:sp macro="" textlink="">
      <xdr:nvSpPr>
        <xdr:cNvPr id="1962" name="diag_75">
          <a:extLst>
            <a:ext uri="{FF2B5EF4-FFF2-40B4-BE49-F238E27FC236}">
              <a16:creationId xmlns:a16="http://schemas.microsoft.com/office/drawing/2014/main" id="{56B5B509-7FA1-DF57-D77E-217883F5E6D1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558800</xdr:colOff>
      <xdr:row>25</xdr:row>
      <xdr:rowOff>28194</xdr:rowOff>
    </xdr:from>
    <xdr:to>
      <xdr:col>11</xdr:col>
      <xdr:colOff>727075</xdr:colOff>
      <xdr:row>26</xdr:row>
      <xdr:rowOff>68961</xdr:rowOff>
    </xdr:to>
    <xdr:sp macro="" textlink="">
      <xdr:nvSpPr>
        <xdr:cNvPr id="1963" name="diag_76">
          <a:extLst>
            <a:ext uri="{FF2B5EF4-FFF2-40B4-BE49-F238E27FC236}">
              <a16:creationId xmlns:a16="http://schemas.microsoft.com/office/drawing/2014/main" id="{8F099AB2-2448-7982-6FC7-DE94AEB09E7C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94361</xdr:rowOff>
    </xdr:from>
    <xdr:to>
      <xdr:col>0</xdr:col>
      <xdr:colOff>355600</xdr:colOff>
      <xdr:row>27</xdr:row>
      <xdr:rowOff>135128</xdr:rowOff>
    </xdr:to>
    <xdr:sp macro="" textlink="">
      <xdr:nvSpPr>
        <xdr:cNvPr id="1964" name="diag_77">
          <a:extLst>
            <a:ext uri="{FF2B5EF4-FFF2-40B4-BE49-F238E27FC236}">
              <a16:creationId xmlns:a16="http://schemas.microsoft.com/office/drawing/2014/main" id="{747AC1DA-6C38-7BFB-7264-888EB5954375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65" name="diag_78">
          <a:extLst>
            <a:ext uri="{FF2B5EF4-FFF2-40B4-BE49-F238E27FC236}">
              <a16:creationId xmlns:a16="http://schemas.microsoft.com/office/drawing/2014/main" id="{80D43E9B-FE70-D7B5-AC84-B20C05E570D6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94361</xdr:rowOff>
    </xdr:from>
    <xdr:to>
      <xdr:col>2</xdr:col>
      <xdr:colOff>381000</xdr:colOff>
      <xdr:row>27</xdr:row>
      <xdr:rowOff>135128</xdr:rowOff>
    </xdr:to>
    <xdr:sp macro="" textlink="">
      <xdr:nvSpPr>
        <xdr:cNvPr id="1966" name="diag_79">
          <a:extLst>
            <a:ext uri="{FF2B5EF4-FFF2-40B4-BE49-F238E27FC236}">
              <a16:creationId xmlns:a16="http://schemas.microsoft.com/office/drawing/2014/main" id="{B8C3185B-5D16-6A30-218A-F618922AFAB5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94361</xdr:rowOff>
    </xdr:from>
    <xdr:to>
      <xdr:col>4</xdr:col>
      <xdr:colOff>40217</xdr:colOff>
      <xdr:row>27</xdr:row>
      <xdr:rowOff>135128</xdr:rowOff>
    </xdr:to>
    <xdr:sp macro="" textlink="">
      <xdr:nvSpPr>
        <xdr:cNvPr id="1967" name="diag_80">
          <a:extLst>
            <a:ext uri="{FF2B5EF4-FFF2-40B4-BE49-F238E27FC236}">
              <a16:creationId xmlns:a16="http://schemas.microsoft.com/office/drawing/2014/main" id="{554233B0-3593-C083-1CFA-385E3CBF251F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26</xdr:row>
      <xdr:rowOff>94361</xdr:rowOff>
    </xdr:from>
    <xdr:to>
      <xdr:col>5</xdr:col>
      <xdr:colOff>309033</xdr:colOff>
      <xdr:row>27</xdr:row>
      <xdr:rowOff>135128</xdr:rowOff>
    </xdr:to>
    <xdr:sp macro="" textlink="">
      <xdr:nvSpPr>
        <xdr:cNvPr id="1968" name="diag_81">
          <a:extLst>
            <a:ext uri="{FF2B5EF4-FFF2-40B4-BE49-F238E27FC236}">
              <a16:creationId xmlns:a16="http://schemas.microsoft.com/office/drawing/2014/main" id="{0A37B643-8DAE-A15E-CA07-A85F5AD5F1BF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94361</xdr:rowOff>
    </xdr:from>
    <xdr:to>
      <xdr:col>6</xdr:col>
      <xdr:colOff>720725</xdr:colOff>
      <xdr:row>27</xdr:row>
      <xdr:rowOff>135128</xdr:rowOff>
    </xdr:to>
    <xdr:sp macro="" textlink="">
      <xdr:nvSpPr>
        <xdr:cNvPr id="1969" name="diag_82">
          <a:extLst>
            <a:ext uri="{FF2B5EF4-FFF2-40B4-BE49-F238E27FC236}">
              <a16:creationId xmlns:a16="http://schemas.microsoft.com/office/drawing/2014/main" id="{9CA76D02-4361-73E4-A5DA-42410ED1111F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26</xdr:row>
      <xdr:rowOff>94361</xdr:rowOff>
    </xdr:from>
    <xdr:to>
      <xdr:col>8</xdr:col>
      <xdr:colOff>379942</xdr:colOff>
      <xdr:row>27</xdr:row>
      <xdr:rowOff>135128</xdr:rowOff>
    </xdr:to>
    <xdr:sp macro="" textlink="">
      <xdr:nvSpPr>
        <xdr:cNvPr id="1970" name="diag_83">
          <a:extLst>
            <a:ext uri="{FF2B5EF4-FFF2-40B4-BE49-F238E27FC236}">
              <a16:creationId xmlns:a16="http://schemas.microsoft.com/office/drawing/2014/main" id="{2F86B34A-1FEA-C7E7-3822-F96343DCC3EA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26</xdr:row>
      <xdr:rowOff>94361</xdr:rowOff>
    </xdr:from>
    <xdr:to>
      <xdr:col>10</xdr:col>
      <xdr:colOff>39158</xdr:colOff>
      <xdr:row>27</xdr:row>
      <xdr:rowOff>135128</xdr:rowOff>
    </xdr:to>
    <xdr:sp macro="" textlink="">
      <xdr:nvSpPr>
        <xdr:cNvPr id="1971" name="diag_84">
          <a:extLst>
            <a:ext uri="{FF2B5EF4-FFF2-40B4-BE49-F238E27FC236}">
              <a16:creationId xmlns:a16="http://schemas.microsoft.com/office/drawing/2014/main" id="{1A9F53A2-7145-9F0D-58E2-36C9C48913A2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26</xdr:row>
      <xdr:rowOff>94361</xdr:rowOff>
    </xdr:from>
    <xdr:to>
      <xdr:col>11</xdr:col>
      <xdr:colOff>727075</xdr:colOff>
      <xdr:row>27</xdr:row>
      <xdr:rowOff>135128</xdr:rowOff>
    </xdr:to>
    <xdr:sp macro="" textlink="">
      <xdr:nvSpPr>
        <xdr:cNvPr id="1972" name="diag_85">
          <a:extLst>
            <a:ext uri="{FF2B5EF4-FFF2-40B4-BE49-F238E27FC236}">
              <a16:creationId xmlns:a16="http://schemas.microsoft.com/office/drawing/2014/main" id="{B4D3D7BF-ABF3-FF51-2269-A4011F592FCA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160528</xdr:rowOff>
    </xdr:from>
    <xdr:to>
      <xdr:col>0</xdr:col>
      <xdr:colOff>355600</xdr:colOff>
      <xdr:row>28</xdr:row>
      <xdr:rowOff>201295</xdr:rowOff>
    </xdr:to>
    <xdr:sp macro="" textlink="">
      <xdr:nvSpPr>
        <xdr:cNvPr id="1973" name="diag_86">
          <a:extLst>
            <a:ext uri="{FF2B5EF4-FFF2-40B4-BE49-F238E27FC236}">
              <a16:creationId xmlns:a16="http://schemas.microsoft.com/office/drawing/2014/main" id="{853BBC44-5D2A-4425-28F7-716352A768B4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74" name="diag_87">
          <a:extLst>
            <a:ext uri="{FF2B5EF4-FFF2-40B4-BE49-F238E27FC236}">
              <a16:creationId xmlns:a16="http://schemas.microsoft.com/office/drawing/2014/main" id="{E2F451ED-85A4-002E-E7AA-7EE54EB7391C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160528</xdr:rowOff>
    </xdr:from>
    <xdr:to>
      <xdr:col>2</xdr:col>
      <xdr:colOff>381000</xdr:colOff>
      <xdr:row>28</xdr:row>
      <xdr:rowOff>201295</xdr:rowOff>
    </xdr:to>
    <xdr:sp macro="" textlink="">
      <xdr:nvSpPr>
        <xdr:cNvPr id="1975" name="diag_88">
          <a:extLst>
            <a:ext uri="{FF2B5EF4-FFF2-40B4-BE49-F238E27FC236}">
              <a16:creationId xmlns:a16="http://schemas.microsoft.com/office/drawing/2014/main" id="{4F2A0A2B-4BAF-AD8F-FDBE-515D9163C7CB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160528</xdr:rowOff>
    </xdr:from>
    <xdr:to>
      <xdr:col>4</xdr:col>
      <xdr:colOff>40217</xdr:colOff>
      <xdr:row>28</xdr:row>
      <xdr:rowOff>201295</xdr:rowOff>
    </xdr:to>
    <xdr:sp macro="" textlink="">
      <xdr:nvSpPr>
        <xdr:cNvPr id="1976" name="diag_89">
          <a:extLst>
            <a:ext uri="{FF2B5EF4-FFF2-40B4-BE49-F238E27FC236}">
              <a16:creationId xmlns:a16="http://schemas.microsoft.com/office/drawing/2014/main" id="{3DCEBC5D-88F1-69E2-7EB8-79177230CE1F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40217</xdr:colOff>
      <xdr:row>27</xdr:row>
      <xdr:rowOff>160528</xdr:rowOff>
    </xdr:from>
    <xdr:to>
      <xdr:col>5</xdr:col>
      <xdr:colOff>309033</xdr:colOff>
      <xdr:row>28</xdr:row>
      <xdr:rowOff>201295</xdr:rowOff>
    </xdr:to>
    <xdr:sp macro="" textlink="">
      <xdr:nvSpPr>
        <xdr:cNvPr id="1977" name="diag_90">
          <a:extLst>
            <a:ext uri="{FF2B5EF4-FFF2-40B4-BE49-F238E27FC236}">
              <a16:creationId xmlns:a16="http://schemas.microsoft.com/office/drawing/2014/main" id="{21678279-12C4-6EA1-4C63-370F010C511C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160528</xdr:rowOff>
    </xdr:from>
    <xdr:to>
      <xdr:col>6</xdr:col>
      <xdr:colOff>720725</xdr:colOff>
      <xdr:row>28</xdr:row>
      <xdr:rowOff>201295</xdr:rowOff>
    </xdr:to>
    <xdr:sp macro="" textlink="">
      <xdr:nvSpPr>
        <xdr:cNvPr id="1978" name="diag_91">
          <a:extLst>
            <a:ext uri="{FF2B5EF4-FFF2-40B4-BE49-F238E27FC236}">
              <a16:creationId xmlns:a16="http://schemas.microsoft.com/office/drawing/2014/main" id="{5D5B7C9B-3EC3-CF08-0D4B-7E928DD9BFBC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720725</xdr:colOff>
      <xdr:row>27</xdr:row>
      <xdr:rowOff>160528</xdr:rowOff>
    </xdr:from>
    <xdr:to>
      <xdr:col>8</xdr:col>
      <xdr:colOff>379942</xdr:colOff>
      <xdr:row>28</xdr:row>
      <xdr:rowOff>201295</xdr:rowOff>
    </xdr:to>
    <xdr:sp macro="" textlink="">
      <xdr:nvSpPr>
        <xdr:cNvPr id="1979" name="diag_92">
          <a:extLst>
            <a:ext uri="{FF2B5EF4-FFF2-40B4-BE49-F238E27FC236}">
              <a16:creationId xmlns:a16="http://schemas.microsoft.com/office/drawing/2014/main" id="{04890951-E49E-7396-C7BA-088DD22B5CD3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379942</xdr:colOff>
      <xdr:row>27</xdr:row>
      <xdr:rowOff>160528</xdr:rowOff>
    </xdr:from>
    <xdr:to>
      <xdr:col>10</xdr:col>
      <xdr:colOff>39158</xdr:colOff>
      <xdr:row>28</xdr:row>
      <xdr:rowOff>201295</xdr:rowOff>
    </xdr:to>
    <xdr:sp macro="" textlink="">
      <xdr:nvSpPr>
        <xdr:cNvPr id="1980" name="diag_93">
          <a:extLst>
            <a:ext uri="{FF2B5EF4-FFF2-40B4-BE49-F238E27FC236}">
              <a16:creationId xmlns:a16="http://schemas.microsoft.com/office/drawing/2014/main" id="{FC5171FC-6C5D-18D6-5412-C1EF206A8AEC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39158</xdr:colOff>
      <xdr:row>27</xdr:row>
      <xdr:rowOff>160528</xdr:rowOff>
    </xdr:from>
    <xdr:to>
      <xdr:col>11</xdr:col>
      <xdr:colOff>727075</xdr:colOff>
      <xdr:row>28</xdr:row>
      <xdr:rowOff>201295</xdr:rowOff>
    </xdr:to>
    <xdr:sp macro="" textlink="">
      <xdr:nvSpPr>
        <xdr:cNvPr id="1981" name="diag_94">
          <a:extLst>
            <a:ext uri="{FF2B5EF4-FFF2-40B4-BE49-F238E27FC236}">
              <a16:creationId xmlns:a16="http://schemas.microsoft.com/office/drawing/2014/main" id="{6F6028B9-91D6-6566-E275-FD5FA15A9648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28</xdr:row>
      <xdr:rowOff>226695</xdr:rowOff>
    </xdr:from>
    <xdr:to>
      <xdr:col>3</xdr:col>
      <xdr:colOff>9525</xdr:colOff>
      <xdr:row>29</xdr:row>
      <xdr:rowOff>179070</xdr:rowOff>
    </xdr:to>
    <xdr:sp macro="" textlink="">
      <xdr:nvSpPr>
        <xdr:cNvPr id="1982" name="pick_1">
          <a:extLst>
            <a:ext uri="{FF2B5EF4-FFF2-40B4-BE49-F238E27FC236}">
              <a16:creationId xmlns:a16="http://schemas.microsoft.com/office/drawing/2014/main" id="{95D36B83-6B48-56F9-CB45-6C1BEC5B8063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29</xdr:row>
      <xdr:rowOff>179070</xdr:rowOff>
    </xdr:from>
    <xdr:to>
      <xdr:col>0</xdr:col>
      <xdr:colOff>279400</xdr:colOff>
      <xdr:row>30</xdr:row>
      <xdr:rowOff>163195</xdr:rowOff>
    </xdr:to>
    <xdr:sp macro="" textlink="">
      <xdr:nvSpPr>
        <xdr:cNvPr id="1983" name="pick_2">
          <a:extLst>
            <a:ext uri="{FF2B5EF4-FFF2-40B4-BE49-F238E27FC236}">
              <a16:creationId xmlns:a16="http://schemas.microsoft.com/office/drawing/2014/main" id="{147027E9-01FF-00FB-2FD0-1BBE5EF3BC10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29</xdr:row>
      <xdr:rowOff>179070</xdr:rowOff>
    </xdr:from>
    <xdr:to>
      <xdr:col>1</xdr:col>
      <xdr:colOff>244475</xdr:colOff>
      <xdr:row>30</xdr:row>
      <xdr:rowOff>163195</xdr:rowOff>
    </xdr:to>
    <xdr:sp macro="" textlink="">
      <xdr:nvSpPr>
        <xdr:cNvPr id="1984" name="pick_3">
          <a:extLst>
            <a:ext uri="{FF2B5EF4-FFF2-40B4-BE49-F238E27FC236}">
              <a16:creationId xmlns:a16="http://schemas.microsoft.com/office/drawing/2014/main" id="{37B92DEC-489E-77F0-70DB-5B92E5D09A6C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244475</xdr:colOff>
      <xdr:row>29</xdr:row>
      <xdr:rowOff>179070</xdr:rowOff>
    </xdr:from>
    <xdr:to>
      <xdr:col>1</xdr:col>
      <xdr:colOff>676275</xdr:colOff>
      <xdr:row>30</xdr:row>
      <xdr:rowOff>163195</xdr:rowOff>
    </xdr:to>
    <xdr:sp macro="" textlink="">
      <xdr:nvSpPr>
        <xdr:cNvPr id="1985" name="pick_4">
          <a:extLst>
            <a:ext uri="{FF2B5EF4-FFF2-40B4-BE49-F238E27FC236}">
              <a16:creationId xmlns:a16="http://schemas.microsoft.com/office/drawing/2014/main" id="{84A20C55-FB6B-4373-3179-191FF3E2A251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676275</xdr:colOff>
      <xdr:row>29</xdr:row>
      <xdr:rowOff>179070</xdr:rowOff>
    </xdr:from>
    <xdr:to>
      <xdr:col>2</xdr:col>
      <xdr:colOff>254000</xdr:colOff>
      <xdr:row>30</xdr:row>
      <xdr:rowOff>163195</xdr:rowOff>
    </xdr:to>
    <xdr:sp macro="" textlink="">
      <xdr:nvSpPr>
        <xdr:cNvPr id="1986" name="pick_5">
          <a:extLst>
            <a:ext uri="{FF2B5EF4-FFF2-40B4-BE49-F238E27FC236}">
              <a16:creationId xmlns:a16="http://schemas.microsoft.com/office/drawing/2014/main" id="{AD8B8B45-AE2C-F6C5-6AED-B0B9BC588B00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29</xdr:row>
      <xdr:rowOff>179070</xdr:rowOff>
    </xdr:from>
    <xdr:to>
      <xdr:col>3</xdr:col>
      <xdr:colOff>9525</xdr:colOff>
      <xdr:row>30</xdr:row>
      <xdr:rowOff>163195</xdr:rowOff>
    </xdr:to>
    <xdr:sp macro="" textlink="">
      <xdr:nvSpPr>
        <xdr:cNvPr id="1987" name="pick_6">
          <a:extLst>
            <a:ext uri="{FF2B5EF4-FFF2-40B4-BE49-F238E27FC236}">
              <a16:creationId xmlns:a16="http://schemas.microsoft.com/office/drawing/2014/main" id="{69BA30EC-6843-8EAD-136C-194DF05E7185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163195</xdr:rowOff>
    </xdr:from>
    <xdr:to>
      <xdr:col>0</xdr:col>
      <xdr:colOff>279400</xdr:colOff>
      <xdr:row>31</xdr:row>
      <xdr:rowOff>147320</xdr:rowOff>
    </xdr:to>
    <xdr:sp macro="" textlink="">
      <xdr:nvSpPr>
        <xdr:cNvPr id="1988" name="pick_7">
          <a:extLst>
            <a:ext uri="{FF2B5EF4-FFF2-40B4-BE49-F238E27FC236}">
              <a16:creationId xmlns:a16="http://schemas.microsoft.com/office/drawing/2014/main" id="{8D2F1D65-1FEA-18AE-F09B-D805979A6BEB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163195</xdr:rowOff>
    </xdr:from>
    <xdr:to>
      <xdr:col>1</xdr:col>
      <xdr:colOff>244475</xdr:colOff>
      <xdr:row>31</xdr:row>
      <xdr:rowOff>147320</xdr:rowOff>
    </xdr:to>
    <xdr:sp macro="" textlink="">
      <xdr:nvSpPr>
        <xdr:cNvPr id="1989" name="pick_8">
          <a:extLst>
            <a:ext uri="{FF2B5EF4-FFF2-40B4-BE49-F238E27FC236}">
              <a16:creationId xmlns:a16="http://schemas.microsoft.com/office/drawing/2014/main" id="{940B89CF-607B-433B-24D6-F3571EF0D770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30</xdr:row>
      <xdr:rowOff>163195</xdr:rowOff>
    </xdr:from>
    <xdr:to>
      <xdr:col>1</xdr:col>
      <xdr:colOff>676275</xdr:colOff>
      <xdr:row>31</xdr:row>
      <xdr:rowOff>147320</xdr:rowOff>
    </xdr:to>
    <xdr:sp macro="" textlink="">
      <xdr:nvSpPr>
        <xdr:cNvPr id="1990" name="pick_9">
          <a:extLst>
            <a:ext uri="{FF2B5EF4-FFF2-40B4-BE49-F238E27FC236}">
              <a16:creationId xmlns:a16="http://schemas.microsoft.com/office/drawing/2014/main" id="{9ED7CA15-FDFD-0B99-E47A-E526E898E68B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676275</xdr:colOff>
      <xdr:row>30</xdr:row>
      <xdr:rowOff>163195</xdr:rowOff>
    </xdr:from>
    <xdr:to>
      <xdr:col>2</xdr:col>
      <xdr:colOff>254000</xdr:colOff>
      <xdr:row>31</xdr:row>
      <xdr:rowOff>147320</xdr:rowOff>
    </xdr:to>
    <xdr:sp macro="" textlink="">
      <xdr:nvSpPr>
        <xdr:cNvPr id="1991" name="pick_10">
          <a:extLst>
            <a:ext uri="{FF2B5EF4-FFF2-40B4-BE49-F238E27FC236}">
              <a16:creationId xmlns:a16="http://schemas.microsoft.com/office/drawing/2014/main" id="{618E9458-E5C1-226E-B6D3-381D3BAF9213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163195</xdr:rowOff>
    </xdr:from>
    <xdr:to>
      <xdr:col>3</xdr:col>
      <xdr:colOff>9525</xdr:colOff>
      <xdr:row>31</xdr:row>
      <xdr:rowOff>147320</xdr:rowOff>
    </xdr:to>
    <xdr:sp macro="" textlink="">
      <xdr:nvSpPr>
        <xdr:cNvPr id="1992" name="pick_11">
          <a:extLst>
            <a:ext uri="{FF2B5EF4-FFF2-40B4-BE49-F238E27FC236}">
              <a16:creationId xmlns:a16="http://schemas.microsoft.com/office/drawing/2014/main" id="{3E4047CE-78D6-1872-F55E-64E47F9E5FAC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147320</xdr:rowOff>
    </xdr:from>
    <xdr:to>
      <xdr:col>0</xdr:col>
      <xdr:colOff>279400</xdr:colOff>
      <xdr:row>32</xdr:row>
      <xdr:rowOff>131445</xdr:rowOff>
    </xdr:to>
    <xdr:sp macro="" textlink="">
      <xdr:nvSpPr>
        <xdr:cNvPr id="1993" name="pick_12">
          <a:extLst>
            <a:ext uri="{FF2B5EF4-FFF2-40B4-BE49-F238E27FC236}">
              <a16:creationId xmlns:a16="http://schemas.microsoft.com/office/drawing/2014/main" id="{CCC4DDD4-8AAE-42D1-7293-388FE501B045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147320</xdr:rowOff>
    </xdr:from>
    <xdr:to>
      <xdr:col>1</xdr:col>
      <xdr:colOff>244475</xdr:colOff>
      <xdr:row>32</xdr:row>
      <xdr:rowOff>131445</xdr:rowOff>
    </xdr:to>
    <xdr:sp macro="" textlink="">
      <xdr:nvSpPr>
        <xdr:cNvPr id="1994" name="pick_13">
          <a:extLst>
            <a:ext uri="{FF2B5EF4-FFF2-40B4-BE49-F238E27FC236}">
              <a16:creationId xmlns:a16="http://schemas.microsoft.com/office/drawing/2014/main" id="{1C9BE24B-6330-47BD-02D4-F485518235F1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31</xdr:row>
      <xdr:rowOff>147320</xdr:rowOff>
    </xdr:from>
    <xdr:to>
      <xdr:col>1</xdr:col>
      <xdr:colOff>676275</xdr:colOff>
      <xdr:row>32</xdr:row>
      <xdr:rowOff>131445</xdr:rowOff>
    </xdr:to>
    <xdr:sp macro="" textlink="">
      <xdr:nvSpPr>
        <xdr:cNvPr id="1995" name="pick_14">
          <a:extLst>
            <a:ext uri="{FF2B5EF4-FFF2-40B4-BE49-F238E27FC236}">
              <a16:creationId xmlns:a16="http://schemas.microsoft.com/office/drawing/2014/main" id="{7A1DCF96-31FC-A34C-69A5-F0BFF2F8C9B3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676275</xdr:colOff>
      <xdr:row>31</xdr:row>
      <xdr:rowOff>147320</xdr:rowOff>
    </xdr:from>
    <xdr:to>
      <xdr:col>2</xdr:col>
      <xdr:colOff>254000</xdr:colOff>
      <xdr:row>32</xdr:row>
      <xdr:rowOff>131445</xdr:rowOff>
    </xdr:to>
    <xdr:sp macro="" textlink="">
      <xdr:nvSpPr>
        <xdr:cNvPr id="1996" name="pick_15">
          <a:extLst>
            <a:ext uri="{FF2B5EF4-FFF2-40B4-BE49-F238E27FC236}">
              <a16:creationId xmlns:a16="http://schemas.microsoft.com/office/drawing/2014/main" id="{1D33A38D-32AE-D8D8-CF39-98A8EA08DF1B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147320</xdr:rowOff>
    </xdr:from>
    <xdr:to>
      <xdr:col>3</xdr:col>
      <xdr:colOff>9525</xdr:colOff>
      <xdr:row>32</xdr:row>
      <xdr:rowOff>131445</xdr:rowOff>
    </xdr:to>
    <xdr:sp macro="" textlink="">
      <xdr:nvSpPr>
        <xdr:cNvPr id="1997" name="pick_16">
          <a:extLst>
            <a:ext uri="{FF2B5EF4-FFF2-40B4-BE49-F238E27FC236}">
              <a16:creationId xmlns:a16="http://schemas.microsoft.com/office/drawing/2014/main" id="{4BDC32A6-5D18-EA5B-ACE0-24E4052203BF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131445</xdr:rowOff>
    </xdr:from>
    <xdr:to>
      <xdr:col>0</xdr:col>
      <xdr:colOff>279400</xdr:colOff>
      <xdr:row>33</xdr:row>
      <xdr:rowOff>115570</xdr:rowOff>
    </xdr:to>
    <xdr:sp macro="" textlink="">
      <xdr:nvSpPr>
        <xdr:cNvPr id="1998" name="pick_17">
          <a:extLst>
            <a:ext uri="{FF2B5EF4-FFF2-40B4-BE49-F238E27FC236}">
              <a16:creationId xmlns:a16="http://schemas.microsoft.com/office/drawing/2014/main" id="{7FE08975-ECE5-CD64-F129-286FCC40C10C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131445</xdr:rowOff>
    </xdr:from>
    <xdr:to>
      <xdr:col>1</xdr:col>
      <xdr:colOff>244475</xdr:colOff>
      <xdr:row>33</xdr:row>
      <xdr:rowOff>115570</xdr:rowOff>
    </xdr:to>
    <xdr:sp macro="" textlink="">
      <xdr:nvSpPr>
        <xdr:cNvPr id="1999" name="pick_18">
          <a:extLst>
            <a:ext uri="{FF2B5EF4-FFF2-40B4-BE49-F238E27FC236}">
              <a16:creationId xmlns:a16="http://schemas.microsoft.com/office/drawing/2014/main" id="{EA9663AB-CD38-1577-8BF6-D1E481C48E8C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32</xdr:row>
      <xdr:rowOff>131445</xdr:rowOff>
    </xdr:from>
    <xdr:to>
      <xdr:col>1</xdr:col>
      <xdr:colOff>676275</xdr:colOff>
      <xdr:row>33</xdr:row>
      <xdr:rowOff>115570</xdr:rowOff>
    </xdr:to>
    <xdr:sp macro="" textlink="">
      <xdr:nvSpPr>
        <xdr:cNvPr id="2000" name="pick_19">
          <a:extLst>
            <a:ext uri="{FF2B5EF4-FFF2-40B4-BE49-F238E27FC236}">
              <a16:creationId xmlns:a16="http://schemas.microsoft.com/office/drawing/2014/main" id="{6C2C93EF-F059-0F20-6860-0A3C770D9814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676275</xdr:colOff>
      <xdr:row>32</xdr:row>
      <xdr:rowOff>131445</xdr:rowOff>
    </xdr:from>
    <xdr:to>
      <xdr:col>2</xdr:col>
      <xdr:colOff>254000</xdr:colOff>
      <xdr:row>33</xdr:row>
      <xdr:rowOff>115570</xdr:rowOff>
    </xdr:to>
    <xdr:sp macro="" textlink="">
      <xdr:nvSpPr>
        <xdr:cNvPr id="2001" name="pick_20">
          <a:extLst>
            <a:ext uri="{FF2B5EF4-FFF2-40B4-BE49-F238E27FC236}">
              <a16:creationId xmlns:a16="http://schemas.microsoft.com/office/drawing/2014/main" id="{31AB03FA-B5C4-945D-A285-C08AF3D4E575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131445</xdr:rowOff>
    </xdr:from>
    <xdr:to>
      <xdr:col>3</xdr:col>
      <xdr:colOff>9525</xdr:colOff>
      <xdr:row>33</xdr:row>
      <xdr:rowOff>115570</xdr:rowOff>
    </xdr:to>
    <xdr:sp macro="" textlink="">
      <xdr:nvSpPr>
        <xdr:cNvPr id="2002" name="pick_21">
          <a:extLst>
            <a:ext uri="{FF2B5EF4-FFF2-40B4-BE49-F238E27FC236}">
              <a16:creationId xmlns:a16="http://schemas.microsoft.com/office/drawing/2014/main" id="{AAE5EDB1-CD4E-2561-6DCB-6E6ABA31F27B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115570</xdr:rowOff>
    </xdr:from>
    <xdr:to>
      <xdr:col>0</xdr:col>
      <xdr:colOff>279400</xdr:colOff>
      <xdr:row>34</xdr:row>
      <xdr:rowOff>99695</xdr:rowOff>
    </xdr:to>
    <xdr:sp macro="" textlink="">
      <xdr:nvSpPr>
        <xdr:cNvPr id="2003" name="pick_22">
          <a:extLst>
            <a:ext uri="{FF2B5EF4-FFF2-40B4-BE49-F238E27FC236}">
              <a16:creationId xmlns:a16="http://schemas.microsoft.com/office/drawing/2014/main" id="{987C6656-BEB3-26BF-0ADA-5D71DF8F2FA6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115570</xdr:rowOff>
    </xdr:from>
    <xdr:to>
      <xdr:col>1</xdr:col>
      <xdr:colOff>244475</xdr:colOff>
      <xdr:row>34</xdr:row>
      <xdr:rowOff>99695</xdr:rowOff>
    </xdr:to>
    <xdr:sp macro="" textlink="">
      <xdr:nvSpPr>
        <xdr:cNvPr id="2004" name="pick_23">
          <a:extLst>
            <a:ext uri="{FF2B5EF4-FFF2-40B4-BE49-F238E27FC236}">
              <a16:creationId xmlns:a16="http://schemas.microsoft.com/office/drawing/2014/main" id="{83EE055B-AB34-D2D1-CA3E-A18D9C83199E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33</xdr:row>
      <xdr:rowOff>115570</xdr:rowOff>
    </xdr:from>
    <xdr:to>
      <xdr:col>1</xdr:col>
      <xdr:colOff>676275</xdr:colOff>
      <xdr:row>34</xdr:row>
      <xdr:rowOff>99695</xdr:rowOff>
    </xdr:to>
    <xdr:sp macro="" textlink="">
      <xdr:nvSpPr>
        <xdr:cNvPr id="2005" name="pick_24">
          <a:extLst>
            <a:ext uri="{FF2B5EF4-FFF2-40B4-BE49-F238E27FC236}">
              <a16:creationId xmlns:a16="http://schemas.microsoft.com/office/drawing/2014/main" id="{A3283EF4-8290-5324-E789-F54E143C7171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676275</xdr:colOff>
      <xdr:row>33</xdr:row>
      <xdr:rowOff>115570</xdr:rowOff>
    </xdr:from>
    <xdr:to>
      <xdr:col>2</xdr:col>
      <xdr:colOff>254000</xdr:colOff>
      <xdr:row>34</xdr:row>
      <xdr:rowOff>99695</xdr:rowOff>
    </xdr:to>
    <xdr:sp macro="" textlink="">
      <xdr:nvSpPr>
        <xdr:cNvPr id="2006" name="pick_25">
          <a:extLst>
            <a:ext uri="{FF2B5EF4-FFF2-40B4-BE49-F238E27FC236}">
              <a16:creationId xmlns:a16="http://schemas.microsoft.com/office/drawing/2014/main" id="{C49C8935-0729-21C7-37FA-8C3F80227A5E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115570</xdr:rowOff>
    </xdr:from>
    <xdr:to>
      <xdr:col>3</xdr:col>
      <xdr:colOff>9525</xdr:colOff>
      <xdr:row>34</xdr:row>
      <xdr:rowOff>99695</xdr:rowOff>
    </xdr:to>
    <xdr:sp macro="" textlink="">
      <xdr:nvSpPr>
        <xdr:cNvPr id="2007" name="pick_26">
          <a:extLst>
            <a:ext uri="{FF2B5EF4-FFF2-40B4-BE49-F238E27FC236}">
              <a16:creationId xmlns:a16="http://schemas.microsoft.com/office/drawing/2014/main" id="{ECE0B291-5282-1E39-352C-5AAFCE72D32B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99695</xdr:rowOff>
    </xdr:from>
    <xdr:to>
      <xdr:col>0</xdr:col>
      <xdr:colOff>279400</xdr:colOff>
      <xdr:row>35</xdr:row>
      <xdr:rowOff>83820</xdr:rowOff>
    </xdr:to>
    <xdr:sp macro="" textlink="">
      <xdr:nvSpPr>
        <xdr:cNvPr id="2008" name="pick_27">
          <a:extLst>
            <a:ext uri="{FF2B5EF4-FFF2-40B4-BE49-F238E27FC236}">
              <a16:creationId xmlns:a16="http://schemas.microsoft.com/office/drawing/2014/main" id="{83F1F573-9564-69BE-B697-B9BD95DD5F32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99695</xdr:rowOff>
    </xdr:from>
    <xdr:to>
      <xdr:col>1</xdr:col>
      <xdr:colOff>244475</xdr:colOff>
      <xdr:row>35</xdr:row>
      <xdr:rowOff>83820</xdr:rowOff>
    </xdr:to>
    <xdr:sp macro="" textlink="">
      <xdr:nvSpPr>
        <xdr:cNvPr id="2009" name="pick_28">
          <a:extLst>
            <a:ext uri="{FF2B5EF4-FFF2-40B4-BE49-F238E27FC236}">
              <a16:creationId xmlns:a16="http://schemas.microsoft.com/office/drawing/2014/main" id="{CD0C76A2-8813-4209-45DB-42581537D736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244475</xdr:colOff>
      <xdr:row>34</xdr:row>
      <xdr:rowOff>99695</xdr:rowOff>
    </xdr:from>
    <xdr:to>
      <xdr:col>1</xdr:col>
      <xdr:colOff>676275</xdr:colOff>
      <xdr:row>35</xdr:row>
      <xdr:rowOff>83820</xdr:rowOff>
    </xdr:to>
    <xdr:sp macro="" textlink="">
      <xdr:nvSpPr>
        <xdr:cNvPr id="2010" name="pick_29">
          <a:extLst>
            <a:ext uri="{FF2B5EF4-FFF2-40B4-BE49-F238E27FC236}">
              <a16:creationId xmlns:a16="http://schemas.microsoft.com/office/drawing/2014/main" id="{2C66ACA7-4682-00C7-20F1-4776DFDC9735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676275</xdr:colOff>
      <xdr:row>34</xdr:row>
      <xdr:rowOff>99695</xdr:rowOff>
    </xdr:from>
    <xdr:to>
      <xdr:col>2</xdr:col>
      <xdr:colOff>254000</xdr:colOff>
      <xdr:row>35</xdr:row>
      <xdr:rowOff>83820</xdr:rowOff>
    </xdr:to>
    <xdr:sp macro="" textlink="">
      <xdr:nvSpPr>
        <xdr:cNvPr id="2011" name="pick_30">
          <a:extLst>
            <a:ext uri="{FF2B5EF4-FFF2-40B4-BE49-F238E27FC236}">
              <a16:creationId xmlns:a16="http://schemas.microsoft.com/office/drawing/2014/main" id="{0F29AF67-C3F8-D8D6-5E6B-3F62893E1454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99695</xdr:rowOff>
    </xdr:from>
    <xdr:to>
      <xdr:col>3</xdr:col>
      <xdr:colOff>9525</xdr:colOff>
      <xdr:row>35</xdr:row>
      <xdr:rowOff>83820</xdr:rowOff>
    </xdr:to>
    <xdr:sp macro="" textlink="">
      <xdr:nvSpPr>
        <xdr:cNvPr id="2012" name="pick_31">
          <a:extLst>
            <a:ext uri="{FF2B5EF4-FFF2-40B4-BE49-F238E27FC236}">
              <a16:creationId xmlns:a16="http://schemas.microsoft.com/office/drawing/2014/main" id="{E892FF6D-FCAA-FF72-0985-8F4B89344039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E7AF-28ED-4767-A4FA-75DC5D0E6703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0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30" customHeight="1" x14ac:dyDescent="0.3">
      <c r="A1" s="129" t="s">
        <v>502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N1" s="116">
        <v>0</v>
      </c>
    </row>
    <row r="2" spans="1:14" x14ac:dyDescent="0.3">
      <c r="A2" s="131" t="s">
        <v>503</v>
      </c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N2" s="116">
        <v>0</v>
      </c>
    </row>
    <row r="4" spans="1:14" x14ac:dyDescent="0.3">
      <c r="A4" s="132" t="s">
        <v>504</v>
      </c>
      <c r="B4" s="130"/>
    </row>
    <row r="5" spans="1:14" x14ac:dyDescent="0.3">
      <c r="A5" s="133" t="s">
        <v>492</v>
      </c>
      <c r="B5" s="134" t="s">
        <v>505</v>
      </c>
    </row>
    <row r="6" spans="1:14" x14ac:dyDescent="0.3">
      <c r="A6" s="133" t="s">
        <v>506</v>
      </c>
      <c r="B6" s="134" t="s">
        <v>507</v>
      </c>
    </row>
    <row r="7" spans="1:14" x14ac:dyDescent="0.3">
      <c r="A7" s="135" t="s">
        <v>508</v>
      </c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</row>
    <row r="8" spans="1:14" x14ac:dyDescent="0.3">
      <c r="A8" s="133" t="s">
        <v>509</v>
      </c>
      <c r="B8" s="134" t="s">
        <v>496</v>
      </c>
    </row>
    <row r="9" spans="1:14" x14ac:dyDescent="0.3">
      <c r="A9" s="132" t="s">
        <v>510</v>
      </c>
      <c r="B9" s="130"/>
      <c r="C9" s="130"/>
    </row>
    <row r="10" spans="1:14" x14ac:dyDescent="0.3">
      <c r="A10" s="136" t="s">
        <v>7</v>
      </c>
      <c r="B10" s="137" t="s">
        <v>511</v>
      </c>
      <c r="C10" s="130"/>
    </row>
    <row r="11" spans="1:14" x14ac:dyDescent="0.3">
      <c r="A11" s="138">
        <v>8</v>
      </c>
      <c r="B11" s="139" t="b">
        <v>0</v>
      </c>
      <c r="C11" s="139" t="b">
        <v>0</v>
      </c>
    </row>
    <row r="12" spans="1:14" x14ac:dyDescent="0.3">
      <c r="A12" s="140">
        <v>10</v>
      </c>
      <c r="B12" s="139" t="b">
        <v>0</v>
      </c>
      <c r="C12" s="139" t="b">
        <v>0</v>
      </c>
    </row>
    <row r="13" spans="1:14" x14ac:dyDescent="0.3">
      <c r="A13" s="141">
        <v>12</v>
      </c>
      <c r="B13" s="139" t="b">
        <v>0</v>
      </c>
      <c r="C13" s="139" t="b">
        <v>0</v>
      </c>
    </row>
    <row r="14" spans="1:14" x14ac:dyDescent="0.3">
      <c r="A14" s="142">
        <v>14</v>
      </c>
      <c r="B14" s="139" t="b">
        <v>0</v>
      </c>
      <c r="C14" s="139" t="b">
        <v>0</v>
      </c>
    </row>
    <row r="15" spans="1:14" x14ac:dyDescent="0.3">
      <c r="A15" s="143">
        <v>16</v>
      </c>
      <c r="B15" s="139" t="b">
        <v>1</v>
      </c>
      <c r="C15" s="139" t="b">
        <v>1</v>
      </c>
    </row>
    <row r="16" spans="1:14" x14ac:dyDescent="0.3">
      <c r="A16" s="144">
        <v>18</v>
      </c>
      <c r="B16" s="139" t="b">
        <v>0</v>
      </c>
      <c r="C16" s="139" t="b">
        <v>0</v>
      </c>
    </row>
    <row r="17" spans="1:12" x14ac:dyDescent="0.3">
      <c r="A17" s="145">
        <v>20</v>
      </c>
      <c r="B17" s="139" t="b">
        <v>1</v>
      </c>
      <c r="C17" s="139" t="b">
        <v>1</v>
      </c>
    </row>
    <row r="19" spans="1:12" ht="28.05" customHeight="1" x14ac:dyDescent="0.3">
      <c r="A19" s="146" t="s">
        <v>512</v>
      </c>
      <c r="B19" s="147" t="s">
        <v>513</v>
      </c>
      <c r="C19" s="130"/>
      <c r="D19" s="130"/>
      <c r="E19" s="130"/>
      <c r="F19" s="130"/>
      <c r="G19" s="130"/>
      <c r="H19" s="130"/>
      <c r="I19" s="130"/>
      <c r="J19" s="130"/>
      <c r="K19" s="130"/>
      <c r="L19" s="130"/>
    </row>
    <row r="21" spans="1:12" x14ac:dyDescent="0.3">
      <c r="A21" s="148" t="s">
        <v>514</v>
      </c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</row>
    <row r="22" spans="1:12" x14ac:dyDescent="0.3">
      <c r="A22" s="149" t="s">
        <v>5</v>
      </c>
      <c r="B22" s="149" t="s">
        <v>515</v>
      </c>
      <c r="C22" s="118" t="s">
        <v>59</v>
      </c>
      <c r="D22" s="119" t="s">
        <v>60</v>
      </c>
      <c r="E22" s="120" t="s">
        <v>61</v>
      </c>
      <c r="F22" s="121" t="s">
        <v>62</v>
      </c>
      <c r="G22" s="122" t="s">
        <v>63</v>
      </c>
      <c r="H22" s="123" t="s">
        <v>64</v>
      </c>
      <c r="I22" s="124" t="s">
        <v>65</v>
      </c>
      <c r="J22" s="149" t="s">
        <v>516</v>
      </c>
      <c r="K22" s="149" t="s">
        <v>517</v>
      </c>
      <c r="L22" s="149" t="s">
        <v>518</v>
      </c>
    </row>
    <row r="23" spans="1:12" x14ac:dyDescent="0.3">
      <c r="A23" s="150">
        <v>1</v>
      </c>
      <c r="B23" s="115" t="s">
        <v>519</v>
      </c>
      <c r="C23" s="150"/>
      <c r="D23" s="150"/>
      <c r="E23" s="150"/>
      <c r="F23" s="150"/>
      <c r="G23" s="150">
        <v>20</v>
      </c>
      <c r="H23" s="150"/>
      <c r="I23" s="150">
        <v>20</v>
      </c>
      <c r="J23" s="150">
        <v>40</v>
      </c>
      <c r="K23" s="150">
        <v>720</v>
      </c>
      <c r="L23" s="151" t="s">
        <v>520</v>
      </c>
    </row>
    <row r="24" spans="1:12" x14ac:dyDescent="0.3">
      <c r="A24" s="150"/>
      <c r="C24" s="150"/>
      <c r="D24" s="150"/>
      <c r="E24" s="150"/>
      <c r="F24" s="150"/>
      <c r="G24" s="150"/>
      <c r="H24" s="150"/>
      <c r="I24" s="150"/>
      <c r="J24" s="150"/>
      <c r="K24" s="150"/>
      <c r="L24" s="151"/>
    </row>
    <row r="25" spans="1:12" x14ac:dyDescent="0.3">
      <c r="A25" s="150"/>
      <c r="C25" s="150"/>
      <c r="D25" s="150"/>
      <c r="E25" s="150"/>
      <c r="F25" s="150"/>
      <c r="G25" s="150"/>
      <c r="H25" s="150"/>
      <c r="I25" s="150"/>
      <c r="J25" s="150"/>
      <c r="K25" s="150"/>
      <c r="L25" s="151"/>
    </row>
    <row r="26" spans="1:12" x14ac:dyDescent="0.3">
      <c r="A26" s="150"/>
      <c r="C26" s="150"/>
      <c r="D26" s="150"/>
      <c r="E26" s="150"/>
      <c r="F26" s="150"/>
      <c r="G26" s="150"/>
      <c r="H26" s="150"/>
      <c r="I26" s="150"/>
      <c r="J26" s="150"/>
      <c r="K26" s="150"/>
      <c r="L26" s="151"/>
    </row>
    <row r="27" spans="1:12" x14ac:dyDescent="0.3">
      <c r="A27" s="150"/>
      <c r="C27" s="150"/>
      <c r="D27" s="150"/>
      <c r="E27" s="150"/>
      <c r="F27" s="150"/>
      <c r="G27" s="150"/>
      <c r="H27" s="150"/>
      <c r="I27" s="150"/>
      <c r="J27" s="150"/>
      <c r="K27" s="150"/>
      <c r="L27" s="151"/>
    </row>
    <row r="28" spans="1:12" x14ac:dyDescent="0.3">
      <c r="A28" s="150"/>
      <c r="C28" s="150"/>
      <c r="D28" s="150"/>
      <c r="E28" s="150"/>
      <c r="F28" s="150"/>
      <c r="G28" s="150"/>
      <c r="H28" s="150"/>
      <c r="I28" s="150"/>
      <c r="J28" s="150"/>
      <c r="K28" s="150"/>
      <c r="L28" s="151"/>
    </row>
    <row r="29" spans="1:12" x14ac:dyDescent="0.3">
      <c r="A29" s="150"/>
      <c r="C29" s="150"/>
      <c r="D29" s="150"/>
      <c r="E29" s="150"/>
      <c r="F29" s="150"/>
      <c r="G29" s="150"/>
      <c r="H29" s="150"/>
      <c r="I29" s="150"/>
      <c r="J29" s="150"/>
      <c r="K29" s="150"/>
      <c r="L29" s="151"/>
    </row>
    <row r="30" spans="1:12" x14ac:dyDescent="0.3">
      <c r="A30" s="150"/>
      <c r="C30" s="150"/>
      <c r="D30" s="150"/>
      <c r="E30" s="150"/>
      <c r="F30" s="150"/>
      <c r="G30" s="150"/>
      <c r="H30" s="150"/>
      <c r="I30" s="150"/>
      <c r="J30" s="150"/>
      <c r="K30" s="150"/>
      <c r="L30" s="151"/>
    </row>
    <row r="31" spans="1:12" x14ac:dyDescent="0.3">
      <c r="A31" s="150"/>
      <c r="C31" s="150"/>
      <c r="D31" s="150"/>
      <c r="E31" s="150"/>
      <c r="F31" s="150"/>
      <c r="G31" s="150"/>
      <c r="H31" s="150"/>
      <c r="I31" s="150"/>
      <c r="J31" s="150"/>
      <c r="K31" s="150"/>
      <c r="L31" s="151"/>
    </row>
    <row r="32" spans="1:12" x14ac:dyDescent="0.3">
      <c r="A32" s="150"/>
      <c r="C32" s="150"/>
      <c r="D32" s="150"/>
      <c r="E32" s="150"/>
      <c r="F32" s="150"/>
      <c r="G32" s="150"/>
      <c r="H32" s="150"/>
      <c r="I32" s="150"/>
      <c r="J32" s="150"/>
      <c r="K32" s="150"/>
      <c r="L32" s="151"/>
    </row>
    <row r="33" spans="1:12" x14ac:dyDescent="0.3">
      <c r="A33" s="150"/>
      <c r="C33" s="150"/>
      <c r="D33" s="150"/>
      <c r="E33" s="150"/>
      <c r="F33" s="150"/>
      <c r="G33" s="150"/>
      <c r="H33" s="150"/>
      <c r="I33" s="150"/>
      <c r="J33" s="150"/>
      <c r="K33" s="150"/>
      <c r="L33" s="151"/>
    </row>
    <row r="35" spans="1:12" hidden="1" x14ac:dyDescent="0.3">
      <c r="A35" s="148" t="s">
        <v>521</v>
      </c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</row>
    <row r="36" spans="1:12" hidden="1" x14ac:dyDescent="0.3">
      <c r="A36" s="149" t="s">
        <v>5</v>
      </c>
      <c r="B36" s="149" t="s">
        <v>515</v>
      </c>
      <c r="C36" s="118" t="s">
        <v>59</v>
      </c>
      <c r="D36" s="119" t="s">
        <v>60</v>
      </c>
      <c r="E36" s="120" t="s">
        <v>61</v>
      </c>
      <c r="F36" s="121" t="s">
        <v>62</v>
      </c>
      <c r="G36" s="122" t="s">
        <v>63</v>
      </c>
      <c r="H36" s="123" t="s">
        <v>64</v>
      </c>
      <c r="I36" s="124" t="s">
        <v>65</v>
      </c>
      <c r="J36" s="149" t="s">
        <v>516</v>
      </c>
      <c r="K36" s="149" t="s">
        <v>517</v>
      </c>
      <c r="L36" s="149" t="s">
        <v>518</v>
      </c>
    </row>
    <row r="37" spans="1:12" hidden="1" x14ac:dyDescent="0.3">
      <c r="A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</row>
    <row r="38" spans="1:12" hidden="1" x14ac:dyDescent="0.3">
      <c r="A38" s="150"/>
      <c r="C38" s="150"/>
      <c r="D38" s="150"/>
      <c r="E38" s="150"/>
      <c r="F38" s="150"/>
      <c r="G38" s="150"/>
      <c r="H38" s="150"/>
      <c r="I38" s="150"/>
      <c r="J38" s="150"/>
      <c r="K38" s="150"/>
      <c r="L38" s="151"/>
    </row>
    <row r="39" spans="1:12" hidden="1" x14ac:dyDescent="0.3">
      <c r="A39" s="150"/>
      <c r="C39" s="150"/>
      <c r="D39" s="150"/>
      <c r="E39" s="150"/>
      <c r="F39" s="150"/>
      <c r="G39" s="150"/>
      <c r="H39" s="150"/>
      <c r="I39" s="150"/>
      <c r="J39" s="150"/>
      <c r="K39" s="150"/>
      <c r="L39" s="151"/>
    </row>
    <row r="40" spans="1:12" hidden="1" x14ac:dyDescent="0.3">
      <c r="A40" s="150"/>
      <c r="C40" s="150"/>
      <c r="D40" s="150"/>
      <c r="E40" s="150"/>
      <c r="F40" s="150"/>
      <c r="G40" s="150"/>
      <c r="H40" s="150"/>
      <c r="I40" s="150"/>
      <c r="J40" s="150"/>
      <c r="K40" s="150"/>
      <c r="L40" s="151"/>
    </row>
    <row r="41" spans="1:12" hidden="1" x14ac:dyDescent="0.3">
      <c r="A41" s="150"/>
      <c r="C41" s="150"/>
      <c r="D41" s="150"/>
      <c r="E41" s="150"/>
      <c r="F41" s="150"/>
      <c r="G41" s="150"/>
      <c r="H41" s="150"/>
      <c r="I41" s="150"/>
      <c r="J41" s="150"/>
      <c r="K41" s="150"/>
      <c r="L41" s="151"/>
    </row>
    <row r="42" spans="1:12" hidden="1" x14ac:dyDescent="0.3">
      <c r="A42" s="150"/>
      <c r="C42" s="150"/>
      <c r="D42" s="150"/>
      <c r="E42" s="150"/>
      <c r="F42" s="150"/>
      <c r="G42" s="150"/>
      <c r="H42" s="150"/>
      <c r="I42" s="150"/>
      <c r="J42" s="150"/>
      <c r="K42" s="150"/>
      <c r="L42" s="151"/>
    </row>
    <row r="43" spans="1:12" hidden="1" x14ac:dyDescent="0.3">
      <c r="A43" s="150"/>
      <c r="C43" s="150"/>
      <c r="D43" s="150"/>
      <c r="E43" s="150"/>
      <c r="F43" s="150"/>
      <c r="G43" s="150"/>
      <c r="H43" s="150"/>
      <c r="I43" s="150"/>
      <c r="J43" s="150"/>
      <c r="K43" s="150"/>
      <c r="L43" s="151"/>
    </row>
    <row r="44" spans="1:12" hidden="1" x14ac:dyDescent="0.3">
      <c r="A44" s="150"/>
      <c r="C44" s="150"/>
      <c r="D44" s="150"/>
      <c r="E44" s="150"/>
      <c r="F44" s="150"/>
      <c r="G44" s="150"/>
      <c r="H44" s="150"/>
      <c r="I44" s="150"/>
      <c r="J44" s="150"/>
      <c r="K44" s="150"/>
      <c r="L44" s="151"/>
    </row>
    <row r="45" spans="1:12" hidden="1" x14ac:dyDescent="0.3">
      <c r="A45" s="150"/>
      <c r="C45" s="150"/>
      <c r="D45" s="150"/>
      <c r="E45" s="150"/>
      <c r="F45" s="150"/>
      <c r="G45" s="150"/>
      <c r="H45" s="150"/>
      <c r="I45" s="150"/>
      <c r="J45" s="150"/>
      <c r="K45" s="150"/>
      <c r="L45" s="151"/>
    </row>
    <row r="46" spans="1:12" hidden="1" x14ac:dyDescent="0.3">
      <c r="A46" s="150"/>
      <c r="C46" s="150"/>
      <c r="D46" s="150"/>
      <c r="E46" s="150"/>
      <c r="F46" s="150"/>
      <c r="G46" s="150"/>
      <c r="H46" s="150"/>
      <c r="I46" s="150"/>
      <c r="J46" s="150"/>
      <c r="K46" s="150"/>
      <c r="L46" s="151"/>
    </row>
    <row r="47" spans="1:12" hidden="1" x14ac:dyDescent="0.3">
      <c r="A47" s="150"/>
      <c r="C47" s="150"/>
      <c r="D47" s="150"/>
      <c r="E47" s="150"/>
      <c r="F47" s="150"/>
      <c r="G47" s="150"/>
      <c r="H47" s="150"/>
      <c r="I47" s="150"/>
      <c r="J47" s="150"/>
      <c r="K47" s="150"/>
      <c r="L47" s="151"/>
    </row>
    <row r="49" spans="1:12" x14ac:dyDescent="0.3">
      <c r="A49" s="152" t="s">
        <v>522</v>
      </c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</row>
    <row r="51" spans="1:12" x14ac:dyDescent="0.3">
      <c r="A51" s="153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4" priority="3">
      <formula>OR($B11=TRUE,AND($C11=TRUE,ISNUMBER(SEARCH("7+5",$B$5))))</formula>
    </cfRule>
  </conditionalFormatting>
  <conditionalFormatting sqref="A23:L33">
    <cfRule type="expression" dxfId="23" priority="1" stopIfTrue="1">
      <formula>ROW()=$N$1</formula>
    </cfRule>
  </conditionalFormatting>
  <conditionalFormatting sqref="A37:L47">
    <cfRule type="expression" dxfId="21" priority="4" stopIfTrue="1">
      <formula>ROW()=$N$2</formula>
    </cfRule>
  </conditionalFormatting>
  <dataValidations count="3">
    <dataValidation type="list" allowBlank="1" sqref="B8" xr:uid="{EAF362B6-74B1-4600-A911-07E3B0196A39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BA32E882-C494-417B-A1DF-DDAE73E62030}">
      <formula1>"Palette - use only selected,Each selected must appear,Each must appear + fillers"</formula1>
    </dataValidation>
    <dataValidation type="list" allowBlank="1" sqref="B5" xr:uid="{FA8ECBAC-D2DA-47B3-9125-89E78DCC62BD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30480</xdr:rowOff>
                  </from>
                  <to>
                    <xdr:col>1</xdr:col>
                    <xdr:colOff>754380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30480</xdr:rowOff>
                  </from>
                  <to>
                    <xdr:col>1</xdr:col>
                    <xdr:colOff>1866900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38100</xdr:colOff>
                    <xdr:row>11</xdr:row>
                    <xdr:rowOff>30480</xdr:rowOff>
                  </from>
                  <to>
                    <xdr:col>1</xdr:col>
                    <xdr:colOff>754380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30480</xdr:rowOff>
                  </from>
                  <to>
                    <xdr:col>1</xdr:col>
                    <xdr:colOff>1866900</xdr:colOff>
                    <xdr:row>12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30480</xdr:rowOff>
                  </from>
                  <to>
                    <xdr:col>1</xdr:col>
                    <xdr:colOff>754380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30480</xdr:rowOff>
                  </from>
                  <to>
                    <xdr:col>1</xdr:col>
                    <xdr:colOff>1866900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30480</xdr:rowOff>
                  </from>
                  <to>
                    <xdr:col>1</xdr:col>
                    <xdr:colOff>754380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30480</xdr:rowOff>
                  </from>
                  <to>
                    <xdr:col>1</xdr:col>
                    <xdr:colOff>1866900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754380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30480</xdr:rowOff>
                  </from>
                  <to>
                    <xdr:col>1</xdr:col>
                    <xdr:colOff>1866900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38100</xdr:rowOff>
                  </from>
                  <to>
                    <xdr:col>1</xdr:col>
                    <xdr:colOff>754380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38100</xdr:rowOff>
                  </from>
                  <to>
                    <xdr:col>1</xdr:col>
                    <xdr:colOff>1866900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754380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38100</xdr:rowOff>
                  </from>
                  <to>
                    <xdr:col>1</xdr:col>
                    <xdr:colOff>1866900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7F31B-1DD8-46B3-90BF-A263569226BE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15" customWidth="1"/>
    <col min="2" max="2" width="42" style="115" customWidth="1"/>
    <col min="3" max="9" width="6" style="115" customWidth="1"/>
    <col min="10" max="10" width="12" style="115" customWidth="1"/>
    <col min="11" max="11" width="9" style="115" customWidth="1"/>
    <col min="12" max="12" width="13" style="115" customWidth="1"/>
    <col min="13" max="16384" width="8.88671875" style="115"/>
  </cols>
  <sheetData>
    <row r="1" spans="1:14" ht="22.05" customHeight="1" x14ac:dyDescent="0.3">
      <c r="A1" s="112" t="s">
        <v>497</v>
      </c>
      <c r="B1" s="113"/>
      <c r="C1" s="113"/>
      <c r="D1" s="113"/>
      <c r="E1" s="113"/>
      <c r="F1" s="113"/>
      <c r="G1" s="113"/>
      <c r="H1" s="113"/>
      <c r="I1" s="113"/>
      <c r="J1" s="113"/>
      <c r="K1" s="114"/>
      <c r="L1" s="114"/>
      <c r="N1" s="116">
        <v>0</v>
      </c>
    </row>
    <row r="2" spans="1:14" x14ac:dyDescent="0.3">
      <c r="A2" s="117" t="s">
        <v>5</v>
      </c>
      <c r="B2" s="117" t="s">
        <v>498</v>
      </c>
      <c r="C2" s="118" t="s">
        <v>59</v>
      </c>
      <c r="D2" s="119" t="s">
        <v>60</v>
      </c>
      <c r="E2" s="120" t="s">
        <v>61</v>
      </c>
      <c r="F2" s="121" t="s">
        <v>62</v>
      </c>
      <c r="G2" s="122" t="s">
        <v>63</v>
      </c>
      <c r="H2" s="123" t="s">
        <v>64</v>
      </c>
      <c r="I2" s="124" t="s">
        <v>65</v>
      </c>
      <c r="J2" s="117" t="s">
        <v>499</v>
      </c>
      <c r="K2" s="114"/>
      <c r="L2" s="114"/>
    </row>
    <row r="3" spans="1:14" ht="15" thickBot="1" x14ac:dyDescent="0.35">
      <c r="A3" s="125">
        <v>1</v>
      </c>
      <c r="B3" s="114" t="s">
        <v>500</v>
      </c>
      <c r="C3" s="125"/>
      <c r="D3" s="125"/>
      <c r="E3" s="125"/>
      <c r="F3" s="125"/>
      <c r="G3" s="125">
        <v>2</v>
      </c>
      <c r="H3" s="125"/>
      <c r="I3" s="125">
        <v>2</v>
      </c>
      <c r="J3" s="126"/>
      <c r="K3" s="114"/>
      <c r="L3" s="114"/>
    </row>
    <row r="4" spans="1:14" x14ac:dyDescent="0.3">
      <c r="A4" s="127"/>
      <c r="B4" s="128" t="s">
        <v>501</v>
      </c>
      <c r="C4" s="127" t="str">
        <f t="shared" ref="C4:I4" si="0">IFERROR(IF(SUMPRODUCT(C3:C3,$J$3:$J$3)=0,"",SUMPRODUCT(C3:C3,$J$3:$J$3)),"")</f>
        <v/>
      </c>
      <c r="D4" s="127" t="str">
        <f t="shared" si="0"/>
        <v/>
      </c>
      <c r="E4" s="127" t="str">
        <f t="shared" si="0"/>
        <v/>
      </c>
      <c r="F4" s="127" t="str">
        <f t="shared" si="0"/>
        <v/>
      </c>
      <c r="G4" s="127" t="str">
        <f t="shared" si="0"/>
        <v/>
      </c>
      <c r="H4" s="127" t="str">
        <f t="shared" si="0"/>
        <v/>
      </c>
      <c r="I4" s="127" t="str">
        <f t="shared" si="0"/>
        <v/>
      </c>
      <c r="J4" s="127" t="str">
        <f>SUM($J$3:$J$3)&amp;" / 10 rows"&amp;IF(SUM($J$3:$J$3)=10," OK","")</f>
        <v>0 / 10 rows</v>
      </c>
      <c r="K4" s="114"/>
      <c r="L4" s="114"/>
    </row>
    <row r="5" spans="1:14" x14ac:dyDescent="0.3">
      <c r="A5" s="125"/>
      <c r="B5" s="114"/>
      <c r="C5" s="125"/>
      <c r="D5" s="125"/>
      <c r="E5" s="125"/>
      <c r="F5" s="125"/>
      <c r="G5" s="125"/>
      <c r="H5" s="125"/>
      <c r="I5" s="125"/>
      <c r="J5" s="125"/>
      <c r="K5" s="114"/>
      <c r="L5" s="114"/>
    </row>
    <row r="6" spans="1:14" x14ac:dyDescent="0.3">
      <c r="A6" s="125"/>
      <c r="B6" s="114"/>
      <c r="C6" s="125"/>
      <c r="D6" s="125"/>
      <c r="E6" s="125"/>
      <c r="F6" s="125"/>
      <c r="G6" s="125"/>
      <c r="H6" s="125"/>
      <c r="I6" s="125"/>
      <c r="J6" s="125"/>
      <c r="K6" s="114"/>
      <c r="L6" s="114"/>
    </row>
    <row r="7" spans="1:14" x14ac:dyDescent="0.3">
      <c r="A7" s="125"/>
      <c r="B7" s="114"/>
      <c r="C7" s="125"/>
      <c r="D7" s="125"/>
      <c r="E7" s="125"/>
      <c r="F7" s="125"/>
      <c r="G7" s="125"/>
      <c r="H7" s="125"/>
      <c r="I7" s="125"/>
      <c r="J7" s="125"/>
      <c r="K7" s="114"/>
      <c r="L7" s="114"/>
    </row>
    <row r="8" spans="1:14" x14ac:dyDescent="0.3">
      <c r="A8" s="125"/>
      <c r="B8" s="114"/>
      <c r="C8" s="125"/>
      <c r="D8" s="125"/>
      <c r="E8" s="125"/>
      <c r="F8" s="125"/>
      <c r="G8" s="125"/>
      <c r="H8" s="125"/>
      <c r="I8" s="125"/>
      <c r="J8" s="125"/>
      <c r="K8" s="114"/>
      <c r="L8" s="114"/>
    </row>
    <row r="9" spans="1:14" x14ac:dyDescent="0.3">
      <c r="A9" s="125"/>
      <c r="B9" s="114"/>
      <c r="C9" s="125"/>
      <c r="D9" s="125"/>
      <c r="E9" s="125"/>
      <c r="F9" s="125"/>
      <c r="G9" s="125"/>
      <c r="H9" s="125"/>
      <c r="I9" s="125"/>
      <c r="J9" s="125"/>
      <c r="K9" s="114"/>
      <c r="L9" s="114"/>
    </row>
    <row r="10" spans="1:14" x14ac:dyDescent="0.3">
      <c r="A10" s="125"/>
      <c r="B10" s="114"/>
      <c r="C10" s="125"/>
      <c r="D10" s="125"/>
      <c r="E10" s="125"/>
      <c r="F10" s="125"/>
      <c r="G10" s="125"/>
      <c r="H10" s="125"/>
      <c r="I10" s="125"/>
      <c r="J10" s="125"/>
      <c r="K10" s="114"/>
      <c r="L10" s="114"/>
    </row>
    <row r="11" spans="1:14" x14ac:dyDescent="0.3">
      <c r="A11" s="125"/>
      <c r="B11" s="114"/>
      <c r="C11" s="125"/>
      <c r="D11" s="125"/>
      <c r="E11" s="125"/>
      <c r="F11" s="125"/>
      <c r="G11" s="125"/>
      <c r="H11" s="125"/>
      <c r="I11" s="125"/>
      <c r="J11" s="125"/>
      <c r="K11" s="114"/>
      <c r="L11" s="114"/>
    </row>
    <row r="12" spans="1:14" x14ac:dyDescent="0.3">
      <c r="A12" s="125"/>
      <c r="B12" s="114"/>
      <c r="C12" s="125"/>
      <c r="D12" s="125"/>
      <c r="E12" s="125"/>
      <c r="F12" s="125"/>
      <c r="G12" s="125"/>
      <c r="H12" s="125"/>
      <c r="I12" s="125"/>
      <c r="J12" s="125"/>
      <c r="K12" s="114"/>
      <c r="L12" s="114"/>
    </row>
    <row r="13" spans="1:14" x14ac:dyDescent="0.3">
      <c r="A13" s="125"/>
      <c r="B13" s="114"/>
      <c r="C13" s="125"/>
      <c r="D13" s="125"/>
      <c r="E13" s="125"/>
      <c r="F13" s="125"/>
      <c r="G13" s="125"/>
      <c r="H13" s="125"/>
      <c r="I13" s="125"/>
      <c r="J13" s="125"/>
      <c r="K13" s="114"/>
      <c r="L13" s="114"/>
    </row>
    <row r="14" spans="1:14" x14ac:dyDescent="0.3">
      <c r="A14" s="125"/>
      <c r="B14" s="114"/>
      <c r="C14" s="125"/>
      <c r="D14" s="125"/>
      <c r="E14" s="125"/>
      <c r="F14" s="125"/>
      <c r="G14" s="125"/>
      <c r="H14" s="125"/>
      <c r="I14" s="125"/>
      <c r="J14" s="125"/>
      <c r="K14" s="114"/>
      <c r="L14" s="114"/>
    </row>
    <row r="15" spans="1:14" x14ac:dyDescent="0.3">
      <c r="A15" s="125"/>
      <c r="B15" s="114"/>
      <c r="C15" s="125"/>
      <c r="D15" s="125"/>
      <c r="E15" s="125"/>
      <c r="F15" s="125"/>
      <c r="G15" s="125"/>
      <c r="H15" s="125"/>
      <c r="I15" s="125"/>
      <c r="J15" s="125"/>
      <c r="K15" s="114"/>
      <c r="L15" s="114"/>
    </row>
    <row r="16" spans="1:14" x14ac:dyDescent="0.3">
      <c r="A16" s="125"/>
      <c r="B16" s="114"/>
      <c r="C16" s="125"/>
      <c r="D16" s="125"/>
      <c r="E16" s="125"/>
      <c r="F16" s="125"/>
      <c r="G16" s="125"/>
      <c r="H16" s="125"/>
      <c r="I16" s="125"/>
      <c r="J16" s="125"/>
      <c r="K16" s="114"/>
      <c r="L16" s="114"/>
    </row>
    <row r="17" spans="1:12" x14ac:dyDescent="0.3">
      <c r="A17" s="125"/>
      <c r="B17" s="114"/>
      <c r="C17" s="125"/>
      <c r="D17" s="125"/>
      <c r="E17" s="125"/>
      <c r="F17" s="125"/>
      <c r="G17" s="125"/>
      <c r="H17" s="125"/>
      <c r="I17" s="125"/>
      <c r="J17" s="125"/>
      <c r="K17" s="114"/>
      <c r="L17" s="114"/>
    </row>
    <row r="18" spans="1:12" x14ac:dyDescent="0.3">
      <c r="A18" s="125"/>
      <c r="B18" s="114"/>
      <c r="C18" s="125"/>
      <c r="D18" s="125"/>
      <c r="E18" s="125"/>
      <c r="F18" s="125"/>
      <c r="G18" s="125"/>
      <c r="H18" s="125"/>
      <c r="I18" s="125"/>
      <c r="J18" s="125"/>
      <c r="K18" s="114"/>
      <c r="L18" s="114"/>
    </row>
    <row r="19" spans="1:12" x14ac:dyDescent="0.3">
      <c r="A19" s="125"/>
      <c r="B19" s="114"/>
      <c r="C19" s="125"/>
      <c r="D19" s="125"/>
      <c r="E19" s="125"/>
      <c r="F19" s="125"/>
      <c r="G19" s="125"/>
      <c r="H19" s="125"/>
      <c r="I19" s="125"/>
      <c r="J19" s="125"/>
      <c r="K19" s="114"/>
      <c r="L19" s="114"/>
    </row>
    <row r="20" spans="1:12" x14ac:dyDescent="0.3">
      <c r="A20" s="125"/>
      <c r="B20" s="114"/>
      <c r="C20" s="125"/>
      <c r="D20" s="125"/>
      <c r="E20" s="125"/>
      <c r="F20" s="125"/>
      <c r="G20" s="125"/>
      <c r="H20" s="125"/>
      <c r="I20" s="125"/>
      <c r="J20" s="125"/>
      <c r="K20" s="114"/>
      <c r="L20" s="114"/>
    </row>
    <row r="21" spans="1:12" x14ac:dyDescent="0.3">
      <c r="A21" s="125"/>
      <c r="B21" s="114"/>
      <c r="C21" s="125"/>
      <c r="D21" s="125"/>
      <c r="E21" s="125"/>
      <c r="F21" s="125"/>
      <c r="G21" s="125"/>
      <c r="H21" s="125"/>
      <c r="I21" s="125"/>
      <c r="J21" s="125"/>
      <c r="K21" s="114"/>
      <c r="L21" s="114"/>
    </row>
    <row r="22" spans="1:12" x14ac:dyDescent="0.3">
      <c r="A22" s="125"/>
      <c r="B22" s="114"/>
      <c r="C22" s="125"/>
      <c r="D22" s="125"/>
      <c r="E22" s="125"/>
      <c r="F22" s="125"/>
      <c r="G22" s="125"/>
      <c r="H22" s="125"/>
      <c r="I22" s="125"/>
      <c r="J22" s="125"/>
      <c r="K22" s="114"/>
      <c r="L22" s="114"/>
    </row>
    <row r="23" spans="1:12" x14ac:dyDescent="0.3">
      <c r="A23" s="125"/>
      <c r="B23" s="114"/>
      <c r="C23" s="125"/>
      <c r="D23" s="125"/>
      <c r="E23" s="125"/>
      <c r="F23" s="125"/>
      <c r="G23" s="125"/>
      <c r="H23" s="125"/>
      <c r="I23" s="125"/>
      <c r="J23" s="125"/>
      <c r="K23" s="114"/>
      <c r="L23" s="114"/>
    </row>
    <row r="24" spans="1:12" x14ac:dyDescent="0.3">
      <c r="A24" s="125"/>
      <c r="B24" s="114"/>
      <c r="C24" s="125"/>
      <c r="D24" s="125"/>
      <c r="E24" s="125"/>
      <c r="F24" s="125"/>
      <c r="G24" s="125"/>
      <c r="H24" s="125"/>
      <c r="I24" s="125"/>
      <c r="J24" s="125"/>
      <c r="K24" s="114"/>
      <c r="L24" s="114"/>
    </row>
    <row r="25" spans="1:12" x14ac:dyDescent="0.3">
      <c r="A25" s="125"/>
      <c r="B25" s="114"/>
      <c r="C25" s="125"/>
      <c r="D25" s="125"/>
      <c r="E25" s="125"/>
      <c r="F25" s="125"/>
      <c r="G25" s="125"/>
      <c r="H25" s="125"/>
      <c r="I25" s="125"/>
      <c r="J25" s="125"/>
      <c r="K25" s="114"/>
      <c r="L25" s="114"/>
    </row>
    <row r="26" spans="1:12" x14ac:dyDescent="0.3">
      <c r="A26" s="125"/>
      <c r="B26" s="114"/>
      <c r="C26" s="125"/>
      <c r="D26" s="125"/>
      <c r="E26" s="125"/>
      <c r="F26" s="125"/>
      <c r="G26" s="125"/>
      <c r="H26" s="125"/>
      <c r="I26" s="125"/>
      <c r="J26" s="125"/>
      <c r="K26" s="114"/>
      <c r="L26" s="114"/>
    </row>
    <row r="27" spans="1:12" x14ac:dyDescent="0.3">
      <c r="A27" s="125"/>
      <c r="B27" s="114"/>
      <c r="C27" s="125"/>
      <c r="D27" s="125"/>
      <c r="E27" s="125"/>
      <c r="F27" s="125"/>
      <c r="G27" s="125"/>
      <c r="H27" s="125"/>
      <c r="I27" s="125"/>
      <c r="J27" s="125"/>
      <c r="K27" s="114"/>
      <c r="L27" s="114"/>
    </row>
    <row r="28" spans="1:12" x14ac:dyDescent="0.3">
      <c r="A28" s="125"/>
      <c r="B28" s="114"/>
      <c r="C28" s="125"/>
      <c r="D28" s="125"/>
      <c r="E28" s="125"/>
      <c r="F28" s="125"/>
      <c r="G28" s="125"/>
      <c r="H28" s="125"/>
      <c r="I28" s="125"/>
      <c r="J28" s="125"/>
      <c r="K28" s="114"/>
      <c r="L28" s="114"/>
    </row>
    <row r="29" spans="1:12" x14ac:dyDescent="0.3">
      <c r="A29" s="125"/>
      <c r="B29" s="114"/>
      <c r="C29" s="125"/>
      <c r="D29" s="125"/>
      <c r="E29" s="125"/>
      <c r="F29" s="125"/>
      <c r="G29" s="125"/>
      <c r="H29" s="125"/>
      <c r="I29" s="125"/>
      <c r="J29" s="125"/>
      <c r="K29" s="114"/>
      <c r="L29" s="114"/>
    </row>
    <row r="30" spans="1:12" x14ac:dyDescent="0.3">
      <c r="A30" s="125"/>
      <c r="B30" s="114"/>
      <c r="C30" s="125"/>
      <c r="D30" s="125"/>
      <c r="E30" s="125"/>
      <c r="F30" s="125"/>
      <c r="G30" s="125"/>
      <c r="H30" s="125"/>
      <c r="I30" s="125"/>
      <c r="J30" s="125"/>
      <c r="K30" s="114"/>
      <c r="L30" s="114"/>
    </row>
    <row r="31" spans="1:12" x14ac:dyDescent="0.3">
      <c r="A31" s="125"/>
      <c r="B31" s="114"/>
      <c r="C31" s="125"/>
      <c r="D31" s="125"/>
      <c r="E31" s="125"/>
      <c r="F31" s="125"/>
      <c r="G31" s="125"/>
      <c r="H31" s="125"/>
      <c r="I31" s="125"/>
      <c r="J31" s="125"/>
      <c r="K31" s="114"/>
      <c r="L31" s="114"/>
    </row>
    <row r="32" spans="1:12" x14ac:dyDescent="0.3">
      <c r="A32" s="125"/>
      <c r="B32" s="114"/>
      <c r="C32" s="125"/>
      <c r="D32" s="125"/>
      <c r="E32" s="125"/>
      <c r="F32" s="125"/>
      <c r="G32" s="125"/>
      <c r="H32" s="125"/>
      <c r="I32" s="125"/>
      <c r="J32" s="125"/>
      <c r="K32" s="114"/>
      <c r="L32" s="114"/>
    </row>
    <row r="33" spans="1:12" x14ac:dyDescent="0.3">
      <c r="A33" s="125"/>
      <c r="B33" s="114"/>
      <c r="C33" s="125"/>
      <c r="D33" s="125"/>
      <c r="E33" s="125"/>
      <c r="F33" s="125"/>
      <c r="G33" s="125"/>
      <c r="H33" s="125"/>
      <c r="I33" s="125"/>
      <c r="J33" s="125"/>
      <c r="K33" s="114"/>
      <c r="L33" s="114"/>
    </row>
    <row r="34" spans="1:12" x14ac:dyDescent="0.3">
      <c r="A34" s="125"/>
      <c r="B34" s="114"/>
      <c r="C34" s="125"/>
      <c r="D34" s="125"/>
      <c r="E34" s="125"/>
      <c r="F34" s="125"/>
      <c r="G34" s="125"/>
      <c r="H34" s="125"/>
      <c r="I34" s="125"/>
      <c r="J34" s="125"/>
      <c r="K34" s="114"/>
      <c r="L34" s="114"/>
    </row>
    <row r="35" spans="1:12" x14ac:dyDescent="0.3">
      <c r="A35" s="125"/>
      <c r="B35" s="114"/>
      <c r="C35" s="125"/>
      <c r="D35" s="125"/>
      <c r="E35" s="125"/>
      <c r="F35" s="125"/>
      <c r="G35" s="125"/>
      <c r="H35" s="125"/>
      <c r="I35" s="125"/>
      <c r="J35" s="125"/>
      <c r="K35" s="114"/>
      <c r="L35" s="114"/>
    </row>
    <row r="36" spans="1:12" x14ac:dyDescent="0.3">
      <c r="A36" s="125"/>
      <c r="B36" s="114"/>
      <c r="C36" s="125"/>
      <c r="D36" s="125"/>
      <c r="E36" s="125"/>
      <c r="F36" s="125"/>
      <c r="G36" s="125"/>
      <c r="H36" s="125"/>
      <c r="I36" s="125"/>
      <c r="J36" s="125"/>
      <c r="K36" s="114"/>
      <c r="L36" s="114"/>
    </row>
    <row r="37" spans="1:12" x14ac:dyDescent="0.3">
      <c r="A37" s="125"/>
      <c r="B37" s="114"/>
      <c r="C37" s="125"/>
      <c r="D37" s="125"/>
      <c r="E37" s="125"/>
      <c r="F37" s="125"/>
      <c r="G37" s="125"/>
      <c r="H37" s="125"/>
      <c r="I37" s="125"/>
      <c r="J37" s="125"/>
      <c r="K37" s="114"/>
      <c r="L37" s="114"/>
    </row>
    <row r="38" spans="1:12" x14ac:dyDescent="0.3">
      <c r="A38" s="125"/>
      <c r="B38" s="114"/>
      <c r="C38" s="125"/>
      <c r="D38" s="125"/>
      <c r="E38" s="125"/>
      <c r="F38" s="125"/>
      <c r="G38" s="125"/>
      <c r="H38" s="125"/>
      <c r="I38" s="125"/>
      <c r="J38" s="125"/>
      <c r="K38" s="114"/>
      <c r="L38" s="114"/>
    </row>
    <row r="39" spans="1:12" x14ac:dyDescent="0.3">
      <c r="A39" s="125"/>
      <c r="B39" s="114"/>
      <c r="C39" s="125"/>
      <c r="D39" s="125"/>
      <c r="E39" s="125"/>
      <c r="F39" s="125"/>
      <c r="G39" s="125"/>
      <c r="H39" s="125"/>
      <c r="I39" s="125"/>
      <c r="J39" s="125"/>
      <c r="K39" s="114"/>
      <c r="L39" s="114"/>
    </row>
    <row r="40" spans="1:12" x14ac:dyDescent="0.3">
      <c r="A40" s="125"/>
      <c r="B40" s="114"/>
      <c r="C40" s="125"/>
      <c r="D40" s="125"/>
      <c r="E40" s="125"/>
      <c r="F40" s="125"/>
      <c r="G40" s="125"/>
      <c r="H40" s="125"/>
      <c r="I40" s="125"/>
      <c r="J40" s="125"/>
      <c r="K40" s="114"/>
      <c r="L40" s="114"/>
    </row>
    <row r="41" spans="1:12" x14ac:dyDescent="0.3">
      <c r="A41" s="125"/>
      <c r="B41" s="114"/>
      <c r="C41" s="125"/>
      <c r="D41" s="125"/>
      <c r="E41" s="125"/>
      <c r="F41" s="125"/>
      <c r="G41" s="125"/>
      <c r="H41" s="125"/>
      <c r="I41" s="125"/>
      <c r="J41" s="125"/>
      <c r="K41" s="114"/>
      <c r="L41" s="114"/>
    </row>
    <row r="42" spans="1:12" x14ac:dyDescent="0.3">
      <c r="A42" s="125"/>
      <c r="B42" s="114"/>
      <c r="C42" s="125"/>
      <c r="D42" s="125"/>
      <c r="E42" s="125"/>
      <c r="F42" s="125"/>
      <c r="G42" s="125"/>
      <c r="H42" s="125"/>
      <c r="I42" s="125"/>
      <c r="J42" s="125"/>
      <c r="K42" s="114"/>
      <c r="L42" s="114"/>
    </row>
    <row r="43" spans="1:12" x14ac:dyDescent="0.3">
      <c r="A43" s="125"/>
      <c r="B43" s="114"/>
      <c r="C43" s="125"/>
      <c r="D43" s="125"/>
      <c r="E43" s="125"/>
      <c r="F43" s="125"/>
      <c r="G43" s="125"/>
      <c r="H43" s="125"/>
      <c r="I43" s="125"/>
      <c r="J43" s="125"/>
      <c r="K43" s="114"/>
      <c r="L43" s="114"/>
    </row>
    <row r="44" spans="1:12" x14ac:dyDescent="0.3">
      <c r="A44" s="125"/>
      <c r="B44" s="114"/>
      <c r="C44" s="125"/>
      <c r="D44" s="125"/>
      <c r="E44" s="125"/>
      <c r="F44" s="125"/>
      <c r="G44" s="125"/>
      <c r="H44" s="125"/>
      <c r="I44" s="125"/>
      <c r="J44" s="125"/>
      <c r="K44" s="114"/>
      <c r="L44" s="114"/>
    </row>
    <row r="45" spans="1:12" x14ac:dyDescent="0.3">
      <c r="A45" s="125"/>
      <c r="B45" s="114"/>
      <c r="C45" s="125"/>
      <c r="D45" s="125"/>
      <c r="E45" s="125"/>
      <c r="F45" s="125"/>
      <c r="G45" s="125"/>
      <c r="H45" s="125"/>
      <c r="I45" s="125"/>
      <c r="J45" s="125"/>
      <c r="K45" s="114"/>
      <c r="L45" s="114"/>
    </row>
    <row r="46" spans="1:12" x14ac:dyDescent="0.3">
      <c r="A46" s="125"/>
      <c r="B46" s="114"/>
      <c r="C46" s="125"/>
      <c r="D46" s="125"/>
      <c r="E46" s="125"/>
      <c r="F46" s="125"/>
      <c r="G46" s="125"/>
      <c r="H46" s="125"/>
      <c r="I46" s="125"/>
      <c r="J46" s="125"/>
      <c r="K46" s="114"/>
      <c r="L46" s="114"/>
    </row>
    <row r="47" spans="1:12" x14ac:dyDescent="0.3">
      <c r="A47" s="125"/>
      <c r="B47" s="114"/>
      <c r="C47" s="125"/>
      <c r="D47" s="125"/>
      <c r="E47" s="125"/>
      <c r="F47" s="125"/>
      <c r="G47" s="125"/>
      <c r="H47" s="125"/>
      <c r="I47" s="125"/>
      <c r="J47" s="125"/>
      <c r="K47" s="114"/>
      <c r="L47" s="114"/>
    </row>
    <row r="48" spans="1:12" x14ac:dyDescent="0.3">
      <c r="A48" s="125"/>
      <c r="B48" s="114"/>
      <c r="C48" s="125"/>
      <c r="D48" s="125"/>
      <c r="E48" s="125"/>
      <c r="F48" s="125"/>
      <c r="G48" s="125"/>
      <c r="H48" s="125"/>
      <c r="I48" s="125"/>
      <c r="J48" s="125"/>
      <c r="K48" s="114"/>
      <c r="L48" s="114"/>
    </row>
    <row r="49" spans="1:12" x14ac:dyDescent="0.3">
      <c r="A49" s="125"/>
      <c r="B49" s="114"/>
      <c r="C49" s="125"/>
      <c r="D49" s="125"/>
      <c r="E49" s="125"/>
      <c r="F49" s="125"/>
      <c r="G49" s="125"/>
      <c r="H49" s="125"/>
      <c r="I49" s="125"/>
      <c r="J49" s="125"/>
      <c r="K49" s="114"/>
      <c r="L49" s="114"/>
    </row>
    <row r="50" spans="1:12" x14ac:dyDescent="0.3">
      <c r="A50" s="125"/>
      <c r="B50" s="114"/>
      <c r="C50" s="125"/>
      <c r="D50" s="125"/>
      <c r="E50" s="125"/>
      <c r="F50" s="125"/>
      <c r="G50" s="125"/>
      <c r="H50" s="125"/>
      <c r="I50" s="125"/>
      <c r="J50" s="125"/>
      <c r="K50" s="114"/>
      <c r="L50" s="114"/>
    </row>
    <row r="51" spans="1:12" x14ac:dyDescent="0.3">
      <c r="A51" s="125"/>
      <c r="B51" s="114"/>
      <c r="C51" s="125"/>
      <c r="D51" s="125"/>
      <c r="E51" s="125"/>
      <c r="F51" s="125"/>
      <c r="G51" s="125"/>
      <c r="H51" s="125"/>
      <c r="I51" s="125"/>
      <c r="J51" s="125"/>
      <c r="K51" s="114"/>
      <c r="L51" s="114"/>
    </row>
    <row r="52" spans="1:12" x14ac:dyDescent="0.3">
      <c r="A52" s="125"/>
      <c r="B52" s="114"/>
      <c r="C52" s="125"/>
      <c r="D52" s="125"/>
      <c r="E52" s="125"/>
      <c r="F52" s="125"/>
      <c r="G52" s="125"/>
      <c r="H52" s="125"/>
      <c r="I52" s="125"/>
      <c r="J52" s="125"/>
      <c r="K52" s="114"/>
      <c r="L52" s="114"/>
    </row>
    <row r="53" spans="1:12" x14ac:dyDescent="0.3">
      <c r="A53" s="125"/>
      <c r="B53" s="114"/>
      <c r="C53" s="125"/>
      <c r="D53" s="125"/>
      <c r="E53" s="125"/>
      <c r="F53" s="125"/>
      <c r="G53" s="125"/>
      <c r="H53" s="125"/>
      <c r="I53" s="125"/>
      <c r="J53" s="125"/>
      <c r="K53" s="114"/>
      <c r="L53" s="114"/>
    </row>
    <row r="54" spans="1:12" x14ac:dyDescent="0.3">
      <c r="A54" s="125"/>
      <c r="B54" s="114"/>
      <c r="C54" s="125"/>
      <c r="D54" s="125"/>
      <c r="E54" s="125"/>
      <c r="F54" s="125"/>
      <c r="G54" s="125"/>
      <c r="H54" s="125"/>
      <c r="I54" s="125"/>
      <c r="J54" s="125"/>
      <c r="K54" s="114"/>
      <c r="L54" s="114"/>
    </row>
    <row r="55" spans="1:12" x14ac:dyDescent="0.3">
      <c r="A55" s="125"/>
      <c r="B55" s="114"/>
      <c r="C55" s="125"/>
      <c r="D55" s="125"/>
      <c r="E55" s="125"/>
      <c r="F55" s="125"/>
      <c r="G55" s="125"/>
      <c r="H55" s="125"/>
      <c r="I55" s="125"/>
      <c r="J55" s="125"/>
      <c r="K55" s="114"/>
      <c r="L55" s="114"/>
    </row>
    <row r="56" spans="1:12" x14ac:dyDescent="0.3">
      <c r="A56" s="125"/>
      <c r="B56" s="114"/>
      <c r="C56" s="125"/>
      <c r="D56" s="125"/>
      <c r="E56" s="125"/>
      <c r="F56" s="125"/>
      <c r="G56" s="125"/>
      <c r="H56" s="125"/>
      <c r="I56" s="125"/>
      <c r="J56" s="125"/>
      <c r="K56" s="114"/>
      <c r="L56" s="114"/>
    </row>
    <row r="57" spans="1:12" x14ac:dyDescent="0.3">
      <c r="A57" s="125"/>
      <c r="B57" s="114"/>
      <c r="C57" s="125"/>
      <c r="D57" s="125"/>
      <c r="E57" s="125"/>
      <c r="F57" s="125"/>
      <c r="G57" s="125"/>
      <c r="H57" s="125"/>
      <c r="I57" s="125"/>
      <c r="J57" s="125"/>
      <c r="K57" s="114"/>
      <c r="L57" s="114"/>
    </row>
    <row r="58" spans="1:12" x14ac:dyDescent="0.3">
      <c r="A58" s="125"/>
      <c r="B58" s="114"/>
      <c r="C58" s="125"/>
      <c r="D58" s="125"/>
      <c r="E58" s="125"/>
      <c r="F58" s="125"/>
      <c r="G58" s="125"/>
      <c r="H58" s="125"/>
      <c r="I58" s="125"/>
      <c r="J58" s="125"/>
      <c r="K58" s="114"/>
      <c r="L58" s="114"/>
    </row>
    <row r="59" spans="1:12" x14ac:dyDescent="0.3">
      <c r="A59" s="125"/>
      <c r="B59" s="114"/>
      <c r="C59" s="125"/>
      <c r="D59" s="125"/>
      <c r="E59" s="125"/>
      <c r="F59" s="125"/>
      <c r="G59" s="125"/>
      <c r="H59" s="125"/>
      <c r="I59" s="125"/>
      <c r="J59" s="125"/>
      <c r="K59" s="114"/>
      <c r="L59" s="114"/>
    </row>
    <row r="60" spans="1:12" x14ac:dyDescent="0.3">
      <c r="A60" s="125"/>
      <c r="B60" s="114"/>
      <c r="C60" s="125"/>
      <c r="D60" s="125"/>
      <c r="E60" s="125"/>
      <c r="F60" s="125"/>
      <c r="G60" s="125"/>
      <c r="H60" s="125"/>
      <c r="I60" s="125"/>
      <c r="J60" s="125"/>
      <c r="K60" s="114"/>
      <c r="L60" s="114"/>
    </row>
    <row r="61" spans="1:12" x14ac:dyDescent="0.3">
      <c r="A61" s="125"/>
      <c r="B61" s="114"/>
      <c r="C61" s="125"/>
      <c r="D61" s="125"/>
      <c r="E61" s="125"/>
      <c r="F61" s="125"/>
      <c r="G61" s="125"/>
      <c r="H61" s="125"/>
      <c r="I61" s="125"/>
      <c r="J61" s="125"/>
      <c r="K61" s="114"/>
      <c r="L61" s="114"/>
    </row>
    <row r="62" spans="1:12" x14ac:dyDescent="0.3">
      <c r="A62" s="125"/>
      <c r="B62" s="114"/>
      <c r="C62" s="125"/>
      <c r="D62" s="125"/>
      <c r="E62" s="125"/>
      <c r="F62" s="125"/>
      <c r="G62" s="125"/>
      <c r="H62" s="125"/>
      <c r="I62" s="125"/>
      <c r="J62" s="125"/>
      <c r="K62" s="114"/>
      <c r="L62" s="114"/>
    </row>
    <row r="63" spans="1:12" x14ac:dyDescent="0.3">
      <c r="A63" s="125"/>
      <c r="B63" s="114"/>
      <c r="C63" s="125"/>
      <c r="D63" s="125"/>
      <c r="E63" s="125"/>
      <c r="F63" s="125"/>
      <c r="G63" s="125"/>
      <c r="H63" s="125"/>
      <c r="I63" s="125"/>
      <c r="J63" s="125"/>
      <c r="K63" s="114"/>
      <c r="L63" s="114"/>
    </row>
    <row r="64" spans="1:12" x14ac:dyDescent="0.3">
      <c r="A64" s="125"/>
      <c r="B64" s="114"/>
      <c r="C64" s="125"/>
      <c r="D64" s="125"/>
      <c r="E64" s="125"/>
      <c r="F64" s="125"/>
      <c r="G64" s="125"/>
      <c r="H64" s="125"/>
      <c r="I64" s="125"/>
      <c r="J64" s="125"/>
      <c r="K64" s="114"/>
      <c r="L64" s="114"/>
    </row>
    <row r="65" spans="1:12" x14ac:dyDescent="0.3">
      <c r="A65" s="125"/>
      <c r="B65" s="114"/>
      <c r="C65" s="125"/>
      <c r="D65" s="125"/>
      <c r="E65" s="125"/>
      <c r="F65" s="125"/>
      <c r="G65" s="125"/>
      <c r="H65" s="125"/>
      <c r="I65" s="125"/>
      <c r="J65" s="125"/>
      <c r="K65" s="114"/>
      <c r="L65" s="114"/>
    </row>
    <row r="66" spans="1:12" x14ac:dyDescent="0.3">
      <c r="A66" s="125"/>
      <c r="B66" s="114"/>
      <c r="C66" s="125"/>
      <c r="D66" s="125"/>
      <c r="E66" s="125"/>
      <c r="F66" s="125"/>
      <c r="G66" s="125"/>
      <c r="H66" s="125"/>
      <c r="I66" s="125"/>
      <c r="J66" s="125"/>
      <c r="K66" s="114"/>
      <c r="L66" s="114"/>
    </row>
    <row r="67" spans="1:12" x14ac:dyDescent="0.3">
      <c r="A67" s="125"/>
      <c r="B67" s="114"/>
      <c r="C67" s="125"/>
      <c r="D67" s="125"/>
      <c r="E67" s="125"/>
      <c r="F67" s="125"/>
      <c r="G67" s="125"/>
      <c r="H67" s="125"/>
      <c r="I67" s="125"/>
      <c r="J67" s="125"/>
      <c r="K67" s="114"/>
      <c r="L67" s="114"/>
    </row>
    <row r="68" spans="1:12" x14ac:dyDescent="0.3">
      <c r="A68" s="125"/>
      <c r="B68" s="114"/>
      <c r="C68" s="125"/>
      <c r="D68" s="125"/>
      <c r="E68" s="125"/>
      <c r="F68" s="125"/>
      <c r="G68" s="125"/>
      <c r="H68" s="125"/>
      <c r="I68" s="125"/>
      <c r="J68" s="125"/>
      <c r="K68" s="114"/>
      <c r="L68" s="114"/>
    </row>
    <row r="69" spans="1:12" x14ac:dyDescent="0.3">
      <c r="A69" s="125"/>
      <c r="B69" s="114"/>
      <c r="C69" s="125"/>
      <c r="D69" s="125"/>
      <c r="E69" s="125"/>
      <c r="F69" s="125"/>
      <c r="G69" s="125"/>
      <c r="H69" s="125"/>
      <c r="I69" s="125"/>
      <c r="J69" s="125"/>
      <c r="K69" s="114"/>
      <c r="L69" s="114"/>
    </row>
    <row r="70" spans="1:12" x14ac:dyDescent="0.3">
      <c r="A70" s="125"/>
      <c r="B70" s="114"/>
      <c r="C70" s="125"/>
      <c r="D70" s="125"/>
      <c r="E70" s="125"/>
      <c r="F70" s="125"/>
      <c r="G70" s="125"/>
      <c r="H70" s="125"/>
      <c r="I70" s="125"/>
      <c r="J70" s="125"/>
      <c r="K70" s="114"/>
      <c r="L70" s="114"/>
    </row>
    <row r="71" spans="1:12" x14ac:dyDescent="0.3">
      <c r="A71" s="125"/>
      <c r="B71" s="114"/>
      <c r="C71" s="125"/>
      <c r="D71" s="125"/>
      <c r="E71" s="125"/>
      <c r="F71" s="125"/>
      <c r="G71" s="125"/>
      <c r="H71" s="125"/>
      <c r="I71" s="125"/>
      <c r="J71" s="125"/>
      <c r="K71" s="114"/>
      <c r="L71" s="114"/>
    </row>
    <row r="72" spans="1:12" x14ac:dyDescent="0.3">
      <c r="A72" s="125"/>
      <c r="B72" s="114"/>
      <c r="C72" s="125"/>
      <c r="D72" s="125"/>
      <c r="E72" s="125"/>
      <c r="F72" s="125"/>
      <c r="G72" s="125"/>
      <c r="H72" s="125"/>
      <c r="I72" s="125"/>
      <c r="J72" s="125"/>
      <c r="K72" s="114"/>
      <c r="L72" s="114"/>
    </row>
    <row r="73" spans="1:12" x14ac:dyDescent="0.3">
      <c r="A73" s="125"/>
      <c r="B73" s="114"/>
      <c r="C73" s="125"/>
      <c r="D73" s="125"/>
      <c r="E73" s="125"/>
      <c r="F73" s="125"/>
      <c r="G73" s="125"/>
      <c r="H73" s="125"/>
      <c r="I73" s="125"/>
      <c r="J73" s="125"/>
      <c r="K73" s="114"/>
      <c r="L73" s="114"/>
    </row>
    <row r="74" spans="1:12" x14ac:dyDescent="0.3">
      <c r="A74" s="125"/>
      <c r="B74" s="114"/>
      <c r="C74" s="125"/>
      <c r="D74" s="125"/>
      <c r="E74" s="125"/>
      <c r="F74" s="125"/>
      <c r="G74" s="125"/>
      <c r="H74" s="125"/>
      <c r="I74" s="125"/>
      <c r="J74" s="125"/>
      <c r="K74" s="114"/>
      <c r="L74" s="114"/>
    </row>
    <row r="75" spans="1:12" x14ac:dyDescent="0.3">
      <c r="A75" s="125"/>
      <c r="B75" s="114"/>
      <c r="C75" s="125"/>
      <c r="D75" s="125"/>
      <c r="E75" s="125"/>
      <c r="F75" s="125"/>
      <c r="G75" s="125"/>
      <c r="H75" s="125"/>
      <c r="I75" s="125"/>
      <c r="J75" s="125"/>
      <c r="K75" s="114"/>
      <c r="L75" s="114"/>
    </row>
    <row r="76" spans="1:12" x14ac:dyDescent="0.3">
      <c r="A76" s="125"/>
      <c r="B76" s="114"/>
      <c r="C76" s="125"/>
      <c r="D76" s="125"/>
      <c r="E76" s="125"/>
      <c r="F76" s="125"/>
      <c r="G76" s="125"/>
      <c r="H76" s="125"/>
      <c r="I76" s="125"/>
      <c r="J76" s="125"/>
      <c r="K76" s="114"/>
      <c r="L76" s="114"/>
    </row>
    <row r="77" spans="1:12" x14ac:dyDescent="0.3">
      <c r="A77" s="125"/>
      <c r="B77" s="114"/>
      <c r="C77" s="125"/>
      <c r="D77" s="125"/>
      <c r="E77" s="125"/>
      <c r="F77" s="125"/>
      <c r="G77" s="125"/>
      <c r="H77" s="125"/>
      <c r="I77" s="125"/>
      <c r="J77" s="125"/>
      <c r="K77" s="114"/>
      <c r="L77" s="114"/>
    </row>
    <row r="78" spans="1:12" x14ac:dyDescent="0.3">
      <c r="A78" s="125"/>
      <c r="B78" s="114"/>
      <c r="C78" s="125"/>
      <c r="D78" s="125"/>
      <c r="E78" s="125"/>
      <c r="F78" s="125"/>
      <c r="G78" s="125"/>
      <c r="H78" s="125"/>
      <c r="I78" s="125"/>
      <c r="J78" s="125"/>
      <c r="K78" s="114"/>
      <c r="L78" s="114"/>
    </row>
    <row r="79" spans="1:12" x14ac:dyDescent="0.3">
      <c r="A79" s="125"/>
      <c r="B79" s="114"/>
      <c r="C79" s="125"/>
      <c r="D79" s="125"/>
      <c r="E79" s="125"/>
      <c r="F79" s="125"/>
      <c r="G79" s="125"/>
      <c r="H79" s="125"/>
      <c r="I79" s="125"/>
      <c r="J79" s="125"/>
      <c r="K79" s="114"/>
      <c r="L79" s="114"/>
    </row>
    <row r="80" spans="1:12" x14ac:dyDescent="0.3">
      <c r="A80" s="125"/>
      <c r="B80" s="114"/>
      <c r="C80" s="125"/>
      <c r="D80" s="125"/>
      <c r="E80" s="125"/>
      <c r="F80" s="125"/>
      <c r="G80" s="125"/>
      <c r="H80" s="125"/>
      <c r="I80" s="125"/>
      <c r="J80" s="125"/>
      <c r="K80" s="114"/>
      <c r="L80" s="114"/>
    </row>
    <row r="81" spans="1:12" x14ac:dyDescent="0.3">
      <c r="A81" s="125"/>
      <c r="B81" s="114"/>
      <c r="C81" s="125"/>
      <c r="D81" s="125"/>
      <c r="E81" s="125"/>
      <c r="F81" s="125"/>
      <c r="G81" s="125"/>
      <c r="H81" s="125"/>
      <c r="I81" s="125"/>
      <c r="J81" s="125"/>
      <c r="K81" s="114"/>
      <c r="L81" s="114"/>
    </row>
    <row r="82" spans="1:12" x14ac:dyDescent="0.3">
      <c r="A82" s="125"/>
      <c r="B82" s="114"/>
      <c r="C82" s="125"/>
      <c r="D82" s="125"/>
      <c r="E82" s="125"/>
      <c r="F82" s="125"/>
      <c r="G82" s="125"/>
      <c r="H82" s="125"/>
      <c r="I82" s="125"/>
      <c r="J82" s="125"/>
      <c r="K82" s="114"/>
      <c r="L82" s="114"/>
    </row>
    <row r="83" spans="1:12" x14ac:dyDescent="0.3">
      <c r="A83" s="125"/>
      <c r="B83" s="114"/>
      <c r="C83" s="125"/>
      <c r="D83" s="125"/>
      <c r="E83" s="125"/>
      <c r="F83" s="125"/>
      <c r="G83" s="125"/>
      <c r="H83" s="125"/>
      <c r="I83" s="125"/>
      <c r="J83" s="125"/>
      <c r="K83" s="114"/>
      <c r="L83" s="114"/>
    </row>
    <row r="84" spans="1:12" x14ac:dyDescent="0.3">
      <c r="A84" s="125"/>
      <c r="B84" s="114"/>
      <c r="C84" s="125"/>
      <c r="D84" s="125"/>
      <c r="E84" s="125"/>
      <c r="F84" s="125"/>
      <c r="G84" s="125"/>
      <c r="H84" s="125"/>
      <c r="I84" s="125"/>
      <c r="J84" s="125"/>
      <c r="K84" s="114"/>
      <c r="L84" s="114"/>
    </row>
    <row r="85" spans="1:12" x14ac:dyDescent="0.3">
      <c r="A85" s="125"/>
      <c r="B85" s="114"/>
      <c r="C85" s="125"/>
      <c r="D85" s="125"/>
      <c r="E85" s="125"/>
      <c r="F85" s="125"/>
      <c r="G85" s="125"/>
      <c r="H85" s="125"/>
      <c r="I85" s="125"/>
      <c r="J85" s="125"/>
      <c r="K85" s="114"/>
      <c r="L85" s="114"/>
    </row>
    <row r="86" spans="1:12" x14ac:dyDescent="0.3">
      <c r="A86" s="125"/>
      <c r="B86" s="114"/>
      <c r="C86" s="125"/>
      <c r="D86" s="125"/>
      <c r="E86" s="125"/>
      <c r="F86" s="125"/>
      <c r="G86" s="125"/>
      <c r="H86" s="125"/>
      <c r="I86" s="125"/>
      <c r="J86" s="125"/>
      <c r="K86" s="114"/>
      <c r="L86" s="114"/>
    </row>
    <row r="87" spans="1:12" x14ac:dyDescent="0.3">
      <c r="A87" s="125"/>
      <c r="B87" s="114"/>
      <c r="C87" s="125"/>
      <c r="D87" s="125"/>
      <c r="E87" s="125"/>
      <c r="F87" s="125"/>
      <c r="G87" s="125"/>
      <c r="H87" s="125"/>
      <c r="I87" s="125"/>
      <c r="J87" s="125"/>
      <c r="K87" s="114"/>
      <c r="L87" s="114"/>
    </row>
    <row r="88" spans="1:12" x14ac:dyDescent="0.3">
      <c r="A88" s="125"/>
      <c r="B88" s="114"/>
      <c r="C88" s="125"/>
      <c r="D88" s="125"/>
      <c r="E88" s="125"/>
      <c r="F88" s="125"/>
      <c r="G88" s="125"/>
      <c r="H88" s="125"/>
      <c r="I88" s="125"/>
      <c r="J88" s="125"/>
      <c r="K88" s="114"/>
      <c r="L88" s="114"/>
    </row>
    <row r="89" spans="1:12" x14ac:dyDescent="0.3">
      <c r="A89" s="125"/>
      <c r="B89" s="114"/>
      <c r="C89" s="125"/>
      <c r="D89" s="125"/>
      <c r="E89" s="125"/>
      <c r="F89" s="125"/>
      <c r="G89" s="125"/>
      <c r="H89" s="125"/>
      <c r="I89" s="125"/>
      <c r="J89" s="125"/>
      <c r="K89" s="114"/>
      <c r="L89" s="114"/>
    </row>
    <row r="90" spans="1:12" x14ac:dyDescent="0.3">
      <c r="A90" s="125"/>
      <c r="B90" s="114"/>
      <c r="C90" s="125"/>
      <c r="D90" s="125"/>
      <c r="E90" s="125"/>
      <c r="F90" s="125"/>
      <c r="G90" s="125"/>
      <c r="H90" s="125"/>
      <c r="I90" s="125"/>
      <c r="J90" s="125"/>
      <c r="K90" s="114"/>
      <c r="L90" s="114"/>
    </row>
    <row r="91" spans="1:12" x14ac:dyDescent="0.3">
      <c r="A91" s="125"/>
      <c r="B91" s="114"/>
      <c r="C91" s="125"/>
      <c r="D91" s="125"/>
      <c r="E91" s="125"/>
      <c r="F91" s="125"/>
      <c r="G91" s="125"/>
      <c r="H91" s="125"/>
      <c r="I91" s="125"/>
      <c r="J91" s="125"/>
      <c r="K91" s="114"/>
      <c r="L91" s="114"/>
    </row>
    <row r="92" spans="1:12" x14ac:dyDescent="0.3">
      <c r="A92" s="125"/>
      <c r="B92" s="114"/>
      <c r="C92" s="125"/>
      <c r="D92" s="125"/>
      <c r="E92" s="125"/>
      <c r="F92" s="125"/>
      <c r="G92" s="125"/>
      <c r="H92" s="125"/>
      <c r="I92" s="125"/>
      <c r="J92" s="125"/>
      <c r="K92" s="114"/>
      <c r="L92" s="114"/>
    </row>
    <row r="93" spans="1:12" x14ac:dyDescent="0.3">
      <c r="A93" s="125"/>
      <c r="B93" s="114"/>
      <c r="C93" s="125"/>
      <c r="D93" s="125"/>
      <c r="E93" s="125"/>
      <c r="F93" s="125"/>
      <c r="G93" s="125"/>
      <c r="H93" s="125"/>
      <c r="I93" s="125"/>
      <c r="J93" s="125"/>
      <c r="K93" s="114"/>
      <c r="L93" s="114"/>
    </row>
    <row r="94" spans="1:12" x14ac:dyDescent="0.3">
      <c r="A94" s="125"/>
      <c r="B94" s="114"/>
      <c r="C94" s="125"/>
      <c r="D94" s="125"/>
      <c r="E94" s="125"/>
      <c r="F94" s="125"/>
      <c r="G94" s="125"/>
      <c r="H94" s="125"/>
      <c r="I94" s="125"/>
      <c r="J94" s="125"/>
      <c r="K94" s="114"/>
      <c r="L94" s="114"/>
    </row>
    <row r="95" spans="1:12" x14ac:dyDescent="0.3">
      <c r="A95" s="125"/>
      <c r="B95" s="114"/>
      <c r="C95" s="125"/>
      <c r="D95" s="125"/>
      <c r="E95" s="125"/>
      <c r="F95" s="125"/>
      <c r="G95" s="125"/>
      <c r="H95" s="125"/>
      <c r="I95" s="125"/>
      <c r="J95" s="125"/>
      <c r="K95" s="114"/>
      <c r="L95" s="114"/>
    </row>
    <row r="96" spans="1:12" x14ac:dyDescent="0.3">
      <c r="A96" s="125"/>
      <c r="B96" s="114"/>
      <c r="C96" s="125"/>
      <c r="D96" s="125"/>
      <c r="E96" s="125"/>
      <c r="F96" s="125"/>
      <c r="G96" s="125"/>
      <c r="H96" s="125"/>
      <c r="I96" s="125"/>
      <c r="J96" s="125"/>
      <c r="K96" s="114"/>
      <c r="L96" s="114"/>
    </row>
    <row r="97" spans="1:12" x14ac:dyDescent="0.3">
      <c r="A97" s="125"/>
      <c r="B97" s="114"/>
      <c r="C97" s="125"/>
      <c r="D97" s="125"/>
      <c r="E97" s="125"/>
      <c r="F97" s="125"/>
      <c r="G97" s="125"/>
      <c r="H97" s="125"/>
      <c r="I97" s="125"/>
      <c r="J97" s="125"/>
      <c r="K97" s="114"/>
      <c r="L97" s="114"/>
    </row>
    <row r="98" spans="1:12" x14ac:dyDescent="0.3">
      <c r="A98" s="125"/>
      <c r="B98" s="114"/>
      <c r="C98" s="125"/>
      <c r="D98" s="125"/>
      <c r="E98" s="125"/>
      <c r="F98" s="125"/>
      <c r="G98" s="125"/>
      <c r="H98" s="125"/>
      <c r="I98" s="125"/>
      <c r="J98" s="125"/>
      <c r="K98" s="114"/>
      <c r="L98" s="114"/>
    </row>
    <row r="99" spans="1:12" x14ac:dyDescent="0.3">
      <c r="A99" s="125"/>
      <c r="B99" s="114"/>
      <c r="C99" s="125"/>
      <c r="D99" s="125"/>
      <c r="E99" s="125"/>
      <c r="F99" s="125"/>
      <c r="G99" s="125"/>
      <c r="H99" s="125"/>
      <c r="I99" s="125"/>
      <c r="J99" s="125"/>
      <c r="K99" s="114"/>
      <c r="L99" s="114"/>
    </row>
    <row r="100" spans="1:12" x14ac:dyDescent="0.3">
      <c r="A100" s="125"/>
      <c r="B100" s="114"/>
      <c r="C100" s="125"/>
      <c r="D100" s="125"/>
      <c r="E100" s="125"/>
      <c r="F100" s="125"/>
      <c r="G100" s="125"/>
      <c r="H100" s="125"/>
      <c r="I100" s="125"/>
      <c r="J100" s="125"/>
      <c r="K100" s="114"/>
      <c r="L100" s="114"/>
    </row>
    <row r="101" spans="1:12" x14ac:dyDescent="0.3">
      <c r="A101" s="125"/>
      <c r="B101" s="114"/>
      <c r="C101" s="125"/>
      <c r="D101" s="125"/>
      <c r="E101" s="125"/>
      <c r="F101" s="125"/>
      <c r="G101" s="125"/>
      <c r="H101" s="125"/>
      <c r="I101" s="125"/>
      <c r="J101" s="125"/>
      <c r="K101" s="114"/>
      <c r="L101" s="114"/>
    </row>
    <row r="102" spans="1:12" x14ac:dyDescent="0.3">
      <c r="A102" s="125"/>
      <c r="B102" s="114"/>
      <c r="C102" s="125"/>
      <c r="D102" s="125"/>
      <c r="E102" s="125"/>
      <c r="F102" s="125"/>
      <c r="G102" s="125"/>
      <c r="H102" s="125"/>
      <c r="I102" s="125"/>
      <c r="J102" s="125"/>
      <c r="K102" s="114"/>
      <c r="L102" s="114"/>
    </row>
    <row r="103" spans="1:12" x14ac:dyDescent="0.3">
      <c r="A103" s="125"/>
      <c r="B103" s="114"/>
      <c r="C103" s="125"/>
      <c r="D103" s="125"/>
      <c r="E103" s="125"/>
      <c r="F103" s="125"/>
      <c r="G103" s="125"/>
      <c r="H103" s="125"/>
      <c r="I103" s="125"/>
      <c r="J103" s="125"/>
      <c r="K103" s="114"/>
      <c r="L103" s="114"/>
    </row>
    <row r="104" spans="1:12" x14ac:dyDescent="0.3">
      <c r="A104" s="125"/>
      <c r="B104" s="114"/>
      <c r="C104" s="125"/>
      <c r="D104" s="125"/>
      <c r="E104" s="125"/>
      <c r="F104" s="125"/>
      <c r="G104" s="125"/>
      <c r="H104" s="125"/>
      <c r="I104" s="125"/>
      <c r="J104" s="125"/>
      <c r="K104" s="114"/>
      <c r="L104" s="114"/>
    </row>
    <row r="105" spans="1:12" x14ac:dyDescent="0.3">
      <c r="A105" s="125"/>
      <c r="B105" s="114"/>
      <c r="C105" s="125"/>
      <c r="D105" s="125"/>
      <c r="E105" s="125"/>
      <c r="F105" s="125"/>
      <c r="G105" s="125"/>
      <c r="H105" s="125"/>
      <c r="I105" s="125"/>
      <c r="J105" s="125"/>
      <c r="K105" s="114"/>
      <c r="L105" s="114"/>
    </row>
    <row r="106" spans="1:12" x14ac:dyDescent="0.3">
      <c r="A106" s="125"/>
      <c r="B106" s="114"/>
      <c r="C106" s="125"/>
      <c r="D106" s="125"/>
      <c r="E106" s="125"/>
      <c r="F106" s="125"/>
      <c r="G106" s="125"/>
      <c r="H106" s="125"/>
      <c r="I106" s="125"/>
      <c r="J106" s="125"/>
      <c r="K106" s="114"/>
      <c r="L106" s="114"/>
    </row>
    <row r="107" spans="1:12" x14ac:dyDescent="0.3">
      <c r="A107" s="125"/>
      <c r="B107" s="114"/>
      <c r="C107" s="125"/>
      <c r="D107" s="125"/>
      <c r="E107" s="125"/>
      <c r="F107" s="125"/>
      <c r="G107" s="125"/>
      <c r="H107" s="125"/>
      <c r="I107" s="125"/>
      <c r="J107" s="125"/>
      <c r="K107" s="114"/>
      <c r="L107" s="114"/>
    </row>
    <row r="108" spans="1:12" x14ac:dyDescent="0.3">
      <c r="A108" s="125"/>
      <c r="B108" s="114"/>
      <c r="C108" s="125"/>
      <c r="D108" s="125"/>
      <c r="E108" s="125"/>
      <c r="F108" s="125"/>
      <c r="G108" s="125"/>
      <c r="H108" s="125"/>
      <c r="I108" s="125"/>
      <c r="J108" s="125"/>
      <c r="K108" s="114"/>
      <c r="L108" s="114"/>
    </row>
    <row r="109" spans="1:12" x14ac:dyDescent="0.3">
      <c r="A109" s="125"/>
      <c r="B109" s="114"/>
      <c r="C109" s="125"/>
      <c r="D109" s="125"/>
      <c r="E109" s="125"/>
      <c r="F109" s="125"/>
      <c r="G109" s="125"/>
      <c r="H109" s="125"/>
      <c r="I109" s="125"/>
      <c r="J109" s="125"/>
      <c r="K109" s="114"/>
      <c r="L109" s="114"/>
    </row>
    <row r="110" spans="1:12" x14ac:dyDescent="0.3">
      <c r="A110" s="125"/>
      <c r="B110" s="114"/>
      <c r="C110" s="125"/>
      <c r="D110" s="125"/>
      <c r="E110" s="125"/>
      <c r="F110" s="125"/>
      <c r="G110" s="125"/>
      <c r="H110" s="125"/>
      <c r="I110" s="125"/>
      <c r="J110" s="125"/>
      <c r="K110" s="114"/>
      <c r="L110" s="114"/>
    </row>
    <row r="111" spans="1:12" x14ac:dyDescent="0.3">
      <c r="A111" s="125"/>
      <c r="B111" s="114"/>
      <c r="C111" s="125"/>
      <c r="D111" s="125"/>
      <c r="E111" s="125"/>
      <c r="F111" s="125"/>
      <c r="G111" s="125"/>
      <c r="H111" s="125"/>
      <c r="I111" s="125"/>
      <c r="J111" s="125"/>
      <c r="K111" s="114"/>
      <c r="L111" s="114"/>
    </row>
    <row r="112" spans="1:12" x14ac:dyDescent="0.3">
      <c r="A112" s="125"/>
      <c r="B112" s="114"/>
      <c r="C112" s="125"/>
      <c r="D112" s="125"/>
      <c r="E112" s="125"/>
      <c r="F112" s="125"/>
      <c r="G112" s="125"/>
      <c r="H112" s="125"/>
      <c r="I112" s="125"/>
      <c r="J112" s="125"/>
      <c r="K112" s="114"/>
      <c r="L112" s="114"/>
    </row>
    <row r="113" spans="1:12" x14ac:dyDescent="0.3">
      <c r="A113" s="125"/>
      <c r="B113" s="114"/>
      <c r="C113" s="125"/>
      <c r="D113" s="125"/>
      <c r="E113" s="125"/>
      <c r="F113" s="125"/>
      <c r="G113" s="125"/>
      <c r="H113" s="125"/>
      <c r="I113" s="125"/>
      <c r="J113" s="125"/>
      <c r="K113" s="114"/>
      <c r="L113" s="114"/>
    </row>
    <row r="114" spans="1:12" x14ac:dyDescent="0.3">
      <c r="A114" s="125"/>
      <c r="B114" s="114"/>
      <c r="C114" s="125"/>
      <c r="D114" s="125"/>
      <c r="E114" s="125"/>
      <c r="F114" s="125"/>
      <c r="G114" s="125"/>
      <c r="H114" s="125"/>
      <c r="I114" s="125"/>
      <c r="J114" s="125"/>
      <c r="K114" s="114"/>
      <c r="L114" s="114"/>
    </row>
    <row r="115" spans="1:12" x14ac:dyDescent="0.3">
      <c r="A115" s="125"/>
      <c r="B115" s="114"/>
      <c r="C115" s="125"/>
      <c r="D115" s="125"/>
      <c r="E115" s="125"/>
      <c r="F115" s="125"/>
      <c r="G115" s="125"/>
      <c r="H115" s="125"/>
      <c r="I115" s="125"/>
      <c r="J115" s="125"/>
      <c r="K115" s="114"/>
      <c r="L115" s="114"/>
    </row>
    <row r="116" spans="1:12" x14ac:dyDescent="0.3">
      <c r="A116" s="125"/>
      <c r="B116" s="114"/>
      <c r="C116" s="125"/>
      <c r="D116" s="125"/>
      <c r="E116" s="125"/>
      <c r="F116" s="125"/>
      <c r="G116" s="125"/>
      <c r="H116" s="125"/>
      <c r="I116" s="125"/>
      <c r="J116" s="125"/>
      <c r="K116" s="114"/>
      <c r="L116" s="114"/>
    </row>
    <row r="117" spans="1:12" x14ac:dyDescent="0.3">
      <c r="A117" s="125"/>
      <c r="B117" s="114"/>
      <c r="C117" s="125"/>
      <c r="D117" s="125"/>
      <c r="E117" s="125"/>
      <c r="F117" s="125"/>
      <c r="G117" s="125"/>
      <c r="H117" s="125"/>
      <c r="I117" s="125"/>
      <c r="J117" s="125"/>
      <c r="K117" s="114"/>
      <c r="L117" s="114"/>
    </row>
    <row r="118" spans="1:12" x14ac:dyDescent="0.3">
      <c r="A118" s="125"/>
      <c r="B118" s="114"/>
      <c r="C118" s="125"/>
      <c r="D118" s="125"/>
      <c r="E118" s="125"/>
      <c r="F118" s="125"/>
      <c r="G118" s="125"/>
      <c r="H118" s="125"/>
      <c r="I118" s="125"/>
      <c r="J118" s="125"/>
      <c r="K118" s="114"/>
      <c r="L118" s="114"/>
    </row>
    <row r="119" spans="1:12" x14ac:dyDescent="0.3">
      <c r="A119" s="125"/>
      <c r="B119" s="114"/>
      <c r="C119" s="125"/>
      <c r="D119" s="125"/>
      <c r="E119" s="125"/>
      <c r="F119" s="125"/>
      <c r="G119" s="125"/>
      <c r="H119" s="125"/>
      <c r="I119" s="125"/>
      <c r="J119" s="125"/>
      <c r="K119" s="114"/>
      <c r="L119" s="114"/>
    </row>
    <row r="120" spans="1:12" x14ac:dyDescent="0.3">
      <c r="A120" s="125"/>
      <c r="B120" s="114"/>
      <c r="C120" s="125"/>
      <c r="D120" s="125"/>
      <c r="E120" s="125"/>
      <c r="F120" s="125"/>
      <c r="G120" s="125"/>
      <c r="H120" s="125"/>
      <c r="I120" s="125"/>
      <c r="J120" s="125"/>
      <c r="K120" s="114"/>
      <c r="L120" s="114"/>
    </row>
    <row r="121" spans="1:12" x14ac:dyDescent="0.3">
      <c r="A121" s="125"/>
      <c r="B121" s="114"/>
      <c r="C121" s="125"/>
      <c r="D121" s="125"/>
      <c r="E121" s="125"/>
      <c r="F121" s="125"/>
      <c r="G121" s="125"/>
      <c r="H121" s="125"/>
      <c r="I121" s="125"/>
      <c r="J121" s="125"/>
      <c r="K121" s="114"/>
      <c r="L121" s="114"/>
    </row>
    <row r="122" spans="1:12" x14ac:dyDescent="0.3">
      <c r="A122" s="125"/>
      <c r="B122" s="114"/>
      <c r="C122" s="125"/>
      <c r="D122" s="125"/>
      <c r="E122" s="125"/>
      <c r="F122" s="125"/>
      <c r="G122" s="125"/>
      <c r="H122" s="125"/>
      <c r="I122" s="125"/>
      <c r="J122" s="125"/>
      <c r="K122" s="114"/>
      <c r="L122" s="114"/>
    </row>
    <row r="123" spans="1:12" x14ac:dyDescent="0.3">
      <c r="A123" s="125"/>
      <c r="B123" s="114"/>
      <c r="C123" s="125"/>
      <c r="D123" s="125"/>
      <c r="E123" s="125"/>
      <c r="F123" s="125"/>
      <c r="G123" s="125"/>
      <c r="H123" s="125"/>
      <c r="I123" s="125"/>
      <c r="J123" s="125"/>
      <c r="K123" s="114"/>
      <c r="L123" s="114"/>
    </row>
    <row r="124" spans="1:12" x14ac:dyDescent="0.3">
      <c r="A124" s="125"/>
      <c r="B124" s="114"/>
      <c r="C124" s="125"/>
      <c r="D124" s="125"/>
      <c r="E124" s="125"/>
      <c r="F124" s="125"/>
      <c r="G124" s="125"/>
      <c r="H124" s="125"/>
      <c r="I124" s="125"/>
      <c r="J124" s="125"/>
      <c r="K124" s="114"/>
      <c r="L124" s="114"/>
    </row>
    <row r="125" spans="1:12" x14ac:dyDescent="0.3">
      <c r="A125" s="125"/>
      <c r="B125" s="114"/>
      <c r="C125" s="125"/>
      <c r="D125" s="125"/>
      <c r="E125" s="125"/>
      <c r="F125" s="125"/>
      <c r="G125" s="125"/>
      <c r="H125" s="125"/>
      <c r="I125" s="125"/>
      <c r="J125" s="125"/>
      <c r="K125" s="114"/>
      <c r="L125" s="114"/>
    </row>
    <row r="126" spans="1:12" x14ac:dyDescent="0.3">
      <c r="A126" s="125"/>
      <c r="B126" s="114"/>
      <c r="C126" s="125"/>
      <c r="D126" s="125"/>
      <c r="E126" s="125"/>
      <c r="F126" s="125"/>
      <c r="G126" s="125"/>
      <c r="H126" s="125"/>
      <c r="I126" s="125"/>
      <c r="J126" s="125"/>
      <c r="K126" s="114"/>
      <c r="L126" s="114"/>
    </row>
    <row r="127" spans="1:12" x14ac:dyDescent="0.3">
      <c r="A127" s="125"/>
      <c r="B127" s="114"/>
      <c r="C127" s="125"/>
      <c r="D127" s="125"/>
      <c r="E127" s="125"/>
      <c r="F127" s="125"/>
      <c r="G127" s="125"/>
      <c r="H127" s="125"/>
      <c r="I127" s="125"/>
      <c r="J127" s="125"/>
      <c r="K127" s="114"/>
      <c r="L127" s="114"/>
    </row>
    <row r="128" spans="1:12" x14ac:dyDescent="0.3">
      <c r="A128" s="125"/>
      <c r="B128" s="114"/>
      <c r="C128" s="125"/>
      <c r="D128" s="125"/>
      <c r="E128" s="125"/>
      <c r="F128" s="125"/>
      <c r="G128" s="125"/>
      <c r="H128" s="125"/>
      <c r="I128" s="125"/>
      <c r="J128" s="125"/>
      <c r="K128" s="114"/>
      <c r="L128" s="114"/>
    </row>
    <row r="129" spans="1:12" x14ac:dyDescent="0.3">
      <c r="A129" s="125"/>
      <c r="B129" s="114"/>
      <c r="C129" s="125"/>
      <c r="D129" s="125"/>
      <c r="E129" s="125"/>
      <c r="F129" s="125"/>
      <c r="G129" s="125"/>
      <c r="H129" s="125"/>
      <c r="I129" s="125"/>
      <c r="J129" s="125"/>
      <c r="K129" s="114"/>
      <c r="L129" s="114"/>
    </row>
    <row r="130" spans="1:12" x14ac:dyDescent="0.3">
      <c r="A130" s="125"/>
      <c r="B130" s="114"/>
      <c r="C130" s="125"/>
      <c r="D130" s="125"/>
      <c r="E130" s="125"/>
      <c r="F130" s="125"/>
      <c r="G130" s="125"/>
      <c r="H130" s="125"/>
      <c r="I130" s="125"/>
      <c r="J130" s="125"/>
      <c r="K130" s="114"/>
      <c r="L130" s="114"/>
    </row>
    <row r="131" spans="1:12" x14ac:dyDescent="0.3">
      <c r="A131" s="125"/>
      <c r="B131" s="114"/>
      <c r="C131" s="125"/>
      <c r="D131" s="125"/>
      <c r="E131" s="125"/>
      <c r="F131" s="125"/>
      <c r="G131" s="125"/>
      <c r="H131" s="125"/>
      <c r="I131" s="125"/>
      <c r="J131" s="125"/>
      <c r="K131" s="114"/>
      <c r="L131" s="114"/>
    </row>
    <row r="132" spans="1:12" x14ac:dyDescent="0.3">
      <c r="A132" s="125"/>
      <c r="B132" s="114"/>
      <c r="C132" s="125"/>
      <c r="D132" s="125"/>
      <c r="E132" s="125"/>
      <c r="F132" s="125"/>
      <c r="G132" s="125"/>
      <c r="H132" s="125"/>
      <c r="I132" s="125"/>
      <c r="J132" s="125"/>
      <c r="K132" s="114"/>
      <c r="L132" s="114"/>
    </row>
    <row r="133" spans="1:12" x14ac:dyDescent="0.3">
      <c r="A133" s="125"/>
      <c r="B133" s="114"/>
      <c r="C133" s="125"/>
      <c r="D133" s="125"/>
      <c r="E133" s="125"/>
      <c r="F133" s="125"/>
      <c r="G133" s="125"/>
      <c r="H133" s="125"/>
      <c r="I133" s="125"/>
      <c r="J133" s="125"/>
      <c r="K133" s="114"/>
      <c r="L133" s="114"/>
    </row>
    <row r="134" spans="1:12" x14ac:dyDescent="0.3">
      <c r="A134" s="125"/>
      <c r="B134" s="114"/>
      <c r="C134" s="125"/>
      <c r="D134" s="125"/>
      <c r="E134" s="125"/>
      <c r="F134" s="125"/>
      <c r="G134" s="125"/>
      <c r="H134" s="125"/>
      <c r="I134" s="125"/>
      <c r="J134" s="125"/>
      <c r="K134" s="114"/>
      <c r="L134" s="114"/>
    </row>
    <row r="135" spans="1:12" x14ac:dyDescent="0.3">
      <c r="A135" s="125"/>
      <c r="B135" s="114"/>
      <c r="C135" s="125"/>
      <c r="D135" s="125"/>
      <c r="E135" s="125"/>
      <c r="F135" s="125"/>
      <c r="G135" s="125"/>
      <c r="H135" s="125"/>
      <c r="I135" s="125"/>
      <c r="J135" s="125"/>
      <c r="K135" s="114"/>
      <c r="L135" s="114"/>
    </row>
    <row r="136" spans="1:12" x14ac:dyDescent="0.3">
      <c r="A136" s="125"/>
      <c r="B136" s="114"/>
      <c r="C136" s="125"/>
      <c r="D136" s="125"/>
      <c r="E136" s="125"/>
      <c r="F136" s="125"/>
      <c r="G136" s="125"/>
      <c r="H136" s="125"/>
      <c r="I136" s="125"/>
      <c r="J136" s="125"/>
      <c r="K136" s="114"/>
      <c r="L136" s="114"/>
    </row>
    <row r="137" spans="1:12" x14ac:dyDescent="0.3">
      <c r="A137" s="125"/>
      <c r="B137" s="114"/>
      <c r="C137" s="125"/>
      <c r="D137" s="125"/>
      <c r="E137" s="125"/>
      <c r="F137" s="125"/>
      <c r="G137" s="125"/>
      <c r="H137" s="125"/>
      <c r="I137" s="125"/>
      <c r="J137" s="125"/>
      <c r="K137" s="114"/>
      <c r="L137" s="114"/>
    </row>
    <row r="138" spans="1:12" x14ac:dyDescent="0.3">
      <c r="A138" s="125"/>
      <c r="B138" s="114"/>
      <c r="C138" s="125"/>
      <c r="D138" s="125"/>
      <c r="E138" s="125"/>
      <c r="F138" s="125"/>
      <c r="G138" s="125"/>
      <c r="H138" s="125"/>
      <c r="I138" s="125"/>
      <c r="J138" s="125"/>
      <c r="K138" s="114"/>
      <c r="L138" s="114"/>
    </row>
    <row r="139" spans="1:12" x14ac:dyDescent="0.3">
      <c r="A139" s="125"/>
      <c r="B139" s="114"/>
      <c r="C139" s="125"/>
      <c r="D139" s="125"/>
      <c r="E139" s="125"/>
      <c r="F139" s="125"/>
      <c r="G139" s="125"/>
      <c r="H139" s="125"/>
      <c r="I139" s="125"/>
      <c r="J139" s="125"/>
      <c r="K139" s="114"/>
      <c r="L139" s="114"/>
    </row>
    <row r="140" spans="1:12" x14ac:dyDescent="0.3">
      <c r="A140" s="125"/>
      <c r="B140" s="114"/>
      <c r="C140" s="125"/>
      <c r="D140" s="125"/>
      <c r="E140" s="125"/>
      <c r="F140" s="125"/>
      <c r="G140" s="125"/>
      <c r="H140" s="125"/>
      <c r="I140" s="125"/>
      <c r="J140" s="125"/>
      <c r="K140" s="114"/>
      <c r="L140" s="114"/>
    </row>
    <row r="141" spans="1:12" x14ac:dyDescent="0.3">
      <c r="A141" s="125"/>
      <c r="B141" s="114"/>
      <c r="C141" s="125"/>
      <c r="D141" s="125"/>
      <c r="E141" s="125"/>
      <c r="F141" s="125"/>
      <c r="G141" s="125"/>
      <c r="H141" s="125"/>
      <c r="I141" s="125"/>
      <c r="J141" s="125"/>
      <c r="K141" s="114"/>
      <c r="L141" s="114"/>
    </row>
    <row r="142" spans="1:12" x14ac:dyDescent="0.3">
      <c r="A142" s="125"/>
      <c r="B142" s="114"/>
      <c r="C142" s="125"/>
      <c r="D142" s="125"/>
      <c r="E142" s="125"/>
      <c r="F142" s="125"/>
      <c r="G142" s="125"/>
      <c r="H142" s="125"/>
      <c r="I142" s="125"/>
      <c r="J142" s="125"/>
      <c r="K142" s="114"/>
      <c r="L142" s="114"/>
    </row>
    <row r="143" spans="1:12" x14ac:dyDescent="0.3">
      <c r="A143" s="125"/>
      <c r="B143" s="114"/>
      <c r="C143" s="125"/>
      <c r="D143" s="125"/>
      <c r="E143" s="125"/>
      <c r="F143" s="125"/>
      <c r="G143" s="125"/>
      <c r="H143" s="125"/>
      <c r="I143" s="125"/>
      <c r="J143" s="125"/>
      <c r="K143" s="114"/>
      <c r="L143" s="114"/>
    </row>
    <row r="144" spans="1:12" x14ac:dyDescent="0.3">
      <c r="A144" s="125"/>
      <c r="B144" s="114"/>
      <c r="C144" s="125"/>
      <c r="D144" s="125"/>
      <c r="E144" s="125"/>
      <c r="F144" s="125"/>
      <c r="G144" s="125"/>
      <c r="H144" s="125"/>
      <c r="I144" s="125"/>
      <c r="J144" s="125"/>
      <c r="K144" s="114"/>
      <c r="L144" s="114"/>
    </row>
    <row r="145" spans="1:12" x14ac:dyDescent="0.3">
      <c r="A145" s="125"/>
      <c r="B145" s="114"/>
      <c r="C145" s="125"/>
      <c r="D145" s="125"/>
      <c r="E145" s="125"/>
      <c r="F145" s="125"/>
      <c r="G145" s="125"/>
      <c r="H145" s="125"/>
      <c r="I145" s="125"/>
      <c r="J145" s="125"/>
      <c r="K145" s="114"/>
      <c r="L145" s="114"/>
    </row>
    <row r="146" spans="1:12" x14ac:dyDescent="0.3">
      <c r="A146" s="125"/>
      <c r="B146" s="114"/>
      <c r="C146" s="125"/>
      <c r="D146" s="125"/>
      <c r="E146" s="125"/>
      <c r="F146" s="125"/>
      <c r="G146" s="125"/>
      <c r="H146" s="125"/>
      <c r="I146" s="125"/>
      <c r="J146" s="125"/>
      <c r="K146" s="114"/>
      <c r="L146" s="114"/>
    </row>
    <row r="147" spans="1:12" x14ac:dyDescent="0.3">
      <c r="A147" s="125"/>
      <c r="B147" s="114"/>
      <c r="C147" s="125"/>
      <c r="D147" s="125"/>
      <c r="E147" s="125"/>
      <c r="F147" s="125"/>
      <c r="G147" s="125"/>
      <c r="H147" s="125"/>
      <c r="I147" s="125"/>
      <c r="J147" s="125"/>
      <c r="K147" s="114"/>
      <c r="L147" s="114"/>
    </row>
    <row r="148" spans="1:12" x14ac:dyDescent="0.3">
      <c r="A148" s="125"/>
      <c r="B148" s="114"/>
      <c r="C148" s="125"/>
      <c r="D148" s="125"/>
      <c r="E148" s="125"/>
      <c r="F148" s="125"/>
      <c r="G148" s="125"/>
      <c r="H148" s="125"/>
      <c r="I148" s="125"/>
      <c r="J148" s="125"/>
      <c r="K148" s="114"/>
      <c r="L148" s="114"/>
    </row>
    <row r="149" spans="1:12" x14ac:dyDescent="0.3">
      <c r="A149" s="125"/>
      <c r="B149" s="114"/>
      <c r="C149" s="125"/>
      <c r="D149" s="125"/>
      <c r="E149" s="125"/>
      <c r="F149" s="125"/>
      <c r="G149" s="125"/>
      <c r="H149" s="125"/>
      <c r="I149" s="125"/>
      <c r="J149" s="125"/>
      <c r="K149" s="114"/>
      <c r="L149" s="114"/>
    </row>
    <row r="150" spans="1:12" x14ac:dyDescent="0.3">
      <c r="A150" s="125"/>
      <c r="B150" s="114"/>
      <c r="C150" s="125"/>
      <c r="D150" s="125"/>
      <c r="E150" s="125"/>
      <c r="F150" s="125"/>
      <c r="G150" s="125"/>
      <c r="H150" s="125"/>
      <c r="I150" s="125"/>
      <c r="J150" s="125"/>
      <c r="K150" s="114"/>
      <c r="L150" s="114"/>
    </row>
    <row r="151" spans="1:12" x14ac:dyDescent="0.3">
      <c r="A151" s="125"/>
      <c r="B151" s="114"/>
      <c r="C151" s="125"/>
      <c r="D151" s="125"/>
      <c r="E151" s="125"/>
      <c r="F151" s="125"/>
      <c r="G151" s="125"/>
      <c r="H151" s="125"/>
      <c r="I151" s="125"/>
      <c r="J151" s="125"/>
      <c r="K151" s="114"/>
      <c r="L151" s="114"/>
    </row>
    <row r="152" spans="1:12" x14ac:dyDescent="0.3">
      <c r="A152" s="125"/>
      <c r="B152" s="114"/>
      <c r="C152" s="125"/>
      <c r="D152" s="125"/>
      <c r="E152" s="125"/>
      <c r="F152" s="125"/>
      <c r="G152" s="125"/>
      <c r="H152" s="125"/>
      <c r="I152" s="125"/>
      <c r="J152" s="125"/>
      <c r="K152" s="114"/>
      <c r="L152" s="114"/>
    </row>
    <row r="153" spans="1:12" x14ac:dyDescent="0.3">
      <c r="A153" s="125"/>
      <c r="B153" s="114"/>
      <c r="C153" s="125"/>
      <c r="D153" s="125"/>
      <c r="E153" s="125"/>
      <c r="F153" s="125"/>
      <c r="G153" s="125"/>
      <c r="H153" s="125"/>
      <c r="I153" s="125"/>
      <c r="J153" s="125"/>
      <c r="K153" s="114"/>
      <c r="L153" s="114"/>
    </row>
    <row r="154" spans="1:12" x14ac:dyDescent="0.3">
      <c r="A154" s="125"/>
      <c r="B154" s="114"/>
      <c r="C154" s="125"/>
      <c r="D154" s="125"/>
      <c r="E154" s="125"/>
      <c r="F154" s="125"/>
      <c r="G154" s="125"/>
      <c r="H154" s="125"/>
      <c r="I154" s="125"/>
      <c r="J154" s="125"/>
      <c r="K154" s="114"/>
      <c r="L154" s="114"/>
    </row>
    <row r="155" spans="1:12" x14ac:dyDescent="0.3">
      <c r="A155" s="125"/>
      <c r="B155" s="114"/>
      <c r="C155" s="125"/>
      <c r="D155" s="125"/>
      <c r="E155" s="125"/>
      <c r="F155" s="125"/>
      <c r="G155" s="125"/>
      <c r="H155" s="125"/>
      <c r="I155" s="125"/>
      <c r="J155" s="125"/>
      <c r="K155" s="114"/>
      <c r="L155" s="114"/>
    </row>
    <row r="156" spans="1:12" x14ac:dyDescent="0.3">
      <c r="A156" s="125"/>
      <c r="B156" s="114"/>
      <c r="C156" s="125"/>
      <c r="D156" s="125"/>
      <c r="E156" s="125"/>
      <c r="F156" s="125"/>
      <c r="G156" s="125"/>
      <c r="H156" s="125"/>
      <c r="I156" s="125"/>
      <c r="J156" s="125"/>
      <c r="K156" s="114"/>
      <c r="L156" s="114"/>
    </row>
    <row r="157" spans="1:12" x14ac:dyDescent="0.3">
      <c r="A157" s="125"/>
      <c r="B157" s="114"/>
      <c r="C157" s="125"/>
      <c r="D157" s="125"/>
      <c r="E157" s="125"/>
      <c r="F157" s="125"/>
      <c r="G157" s="125"/>
      <c r="H157" s="125"/>
      <c r="I157" s="125"/>
      <c r="J157" s="125"/>
      <c r="K157" s="114"/>
      <c r="L157" s="114"/>
    </row>
    <row r="158" spans="1:12" x14ac:dyDescent="0.3">
      <c r="A158" s="125"/>
      <c r="B158" s="114"/>
      <c r="C158" s="125"/>
      <c r="D158" s="125"/>
      <c r="E158" s="125"/>
      <c r="F158" s="125"/>
      <c r="G158" s="125"/>
      <c r="H158" s="125"/>
      <c r="I158" s="125"/>
      <c r="J158" s="125"/>
      <c r="K158" s="114"/>
      <c r="L158" s="114"/>
    </row>
    <row r="159" spans="1:12" x14ac:dyDescent="0.3">
      <c r="A159" s="125"/>
      <c r="B159" s="114"/>
      <c r="C159" s="125"/>
      <c r="D159" s="125"/>
      <c r="E159" s="125"/>
      <c r="F159" s="125"/>
      <c r="G159" s="125"/>
      <c r="H159" s="125"/>
      <c r="I159" s="125"/>
      <c r="J159" s="125"/>
      <c r="K159" s="114"/>
      <c r="L159" s="114"/>
    </row>
    <row r="160" spans="1:12" x14ac:dyDescent="0.3">
      <c r="A160" s="125"/>
      <c r="B160" s="114"/>
      <c r="C160" s="125"/>
      <c r="D160" s="125"/>
      <c r="E160" s="125"/>
      <c r="F160" s="125"/>
      <c r="G160" s="125"/>
      <c r="H160" s="125"/>
      <c r="I160" s="125"/>
      <c r="J160" s="125"/>
      <c r="K160" s="114"/>
      <c r="L160" s="114"/>
    </row>
    <row r="161" spans="1:12" x14ac:dyDescent="0.3">
      <c r="A161" s="125"/>
      <c r="B161" s="114"/>
      <c r="C161" s="125"/>
      <c r="D161" s="125"/>
      <c r="E161" s="125"/>
      <c r="F161" s="125"/>
      <c r="G161" s="125"/>
      <c r="H161" s="125"/>
      <c r="I161" s="125"/>
      <c r="J161" s="125"/>
      <c r="K161" s="114"/>
      <c r="L161" s="114"/>
    </row>
    <row r="162" spans="1:12" x14ac:dyDescent="0.3">
      <c r="A162" s="125"/>
      <c r="B162" s="114"/>
      <c r="C162" s="125"/>
      <c r="D162" s="125"/>
      <c r="E162" s="125"/>
      <c r="F162" s="125"/>
      <c r="G162" s="125"/>
      <c r="H162" s="125"/>
      <c r="I162" s="125"/>
      <c r="J162" s="125"/>
      <c r="K162" s="114"/>
      <c r="L162" s="114"/>
    </row>
    <row r="163" spans="1:12" x14ac:dyDescent="0.3">
      <c r="A163" s="125"/>
      <c r="B163" s="114"/>
      <c r="C163" s="125"/>
      <c r="D163" s="125"/>
      <c r="E163" s="125"/>
      <c r="F163" s="125"/>
      <c r="G163" s="125"/>
      <c r="H163" s="125"/>
      <c r="I163" s="125"/>
      <c r="J163" s="125"/>
      <c r="K163" s="114"/>
      <c r="L163" s="114"/>
    </row>
    <row r="164" spans="1:12" x14ac:dyDescent="0.3">
      <c r="A164" s="125"/>
      <c r="B164" s="114"/>
      <c r="C164" s="125"/>
      <c r="D164" s="125"/>
      <c r="E164" s="125"/>
      <c r="F164" s="125"/>
      <c r="G164" s="125"/>
      <c r="H164" s="125"/>
      <c r="I164" s="125"/>
      <c r="J164" s="125"/>
      <c r="K164" s="114"/>
      <c r="L164" s="114"/>
    </row>
    <row r="165" spans="1:12" x14ac:dyDescent="0.3">
      <c r="A165" s="125"/>
      <c r="B165" s="114"/>
      <c r="C165" s="125"/>
      <c r="D165" s="125"/>
      <c r="E165" s="125"/>
      <c r="F165" s="125"/>
      <c r="G165" s="125"/>
      <c r="H165" s="125"/>
      <c r="I165" s="125"/>
      <c r="J165" s="125"/>
      <c r="K165" s="114"/>
      <c r="L165" s="114"/>
    </row>
    <row r="166" spans="1:12" x14ac:dyDescent="0.3">
      <c r="A166" s="125"/>
      <c r="B166" s="114"/>
      <c r="C166" s="125"/>
      <c r="D166" s="125"/>
      <c r="E166" s="125"/>
      <c r="F166" s="125"/>
      <c r="G166" s="125"/>
      <c r="H166" s="125"/>
      <c r="I166" s="125"/>
      <c r="J166" s="125"/>
      <c r="K166" s="114"/>
      <c r="L166" s="114"/>
    </row>
    <row r="167" spans="1:12" x14ac:dyDescent="0.3">
      <c r="A167" s="125"/>
      <c r="B167" s="114"/>
      <c r="C167" s="125"/>
      <c r="D167" s="125"/>
      <c r="E167" s="125"/>
      <c r="F167" s="125"/>
      <c r="G167" s="125"/>
      <c r="H167" s="125"/>
      <c r="I167" s="125"/>
      <c r="J167" s="125"/>
      <c r="K167" s="114"/>
      <c r="L167" s="114"/>
    </row>
    <row r="168" spans="1:12" x14ac:dyDescent="0.3">
      <c r="A168" s="125"/>
      <c r="B168" s="114"/>
      <c r="C168" s="125"/>
      <c r="D168" s="125"/>
      <c r="E168" s="125"/>
      <c r="F168" s="125"/>
      <c r="G168" s="125"/>
      <c r="H168" s="125"/>
      <c r="I168" s="125"/>
      <c r="J168" s="125"/>
      <c r="K168" s="114"/>
      <c r="L168" s="114"/>
    </row>
    <row r="169" spans="1:12" x14ac:dyDescent="0.3">
      <c r="A169" s="125"/>
      <c r="B169" s="114"/>
      <c r="C169" s="125"/>
      <c r="D169" s="125"/>
      <c r="E169" s="125"/>
      <c r="F169" s="125"/>
      <c r="G169" s="125"/>
      <c r="H169" s="125"/>
      <c r="I169" s="125"/>
      <c r="J169" s="125"/>
      <c r="K169" s="114"/>
      <c r="L169" s="114"/>
    </row>
    <row r="170" spans="1:12" x14ac:dyDescent="0.3">
      <c r="A170" s="125"/>
      <c r="B170" s="114"/>
      <c r="C170" s="125"/>
      <c r="D170" s="125"/>
      <c r="E170" s="125"/>
      <c r="F170" s="125"/>
      <c r="G170" s="125"/>
      <c r="H170" s="125"/>
      <c r="I170" s="125"/>
      <c r="J170" s="125"/>
      <c r="K170" s="114"/>
      <c r="L170" s="114"/>
    </row>
    <row r="171" spans="1:12" x14ac:dyDescent="0.3">
      <c r="A171" s="125"/>
      <c r="B171" s="114"/>
      <c r="C171" s="125"/>
      <c r="D171" s="125"/>
      <c r="E171" s="125"/>
      <c r="F171" s="125"/>
      <c r="G171" s="125"/>
      <c r="H171" s="125"/>
      <c r="I171" s="125"/>
      <c r="J171" s="125"/>
      <c r="K171" s="114"/>
      <c r="L171" s="114"/>
    </row>
    <row r="172" spans="1:12" x14ac:dyDescent="0.3">
      <c r="A172" s="125"/>
      <c r="B172" s="114"/>
      <c r="C172" s="125"/>
      <c r="D172" s="125"/>
      <c r="E172" s="125"/>
      <c r="F172" s="125"/>
      <c r="G172" s="125"/>
      <c r="H172" s="125"/>
      <c r="I172" s="125"/>
      <c r="J172" s="125"/>
      <c r="K172" s="114"/>
      <c r="L172" s="114"/>
    </row>
    <row r="173" spans="1:12" x14ac:dyDescent="0.3">
      <c r="A173" s="125"/>
      <c r="B173" s="114"/>
      <c r="C173" s="125"/>
      <c r="D173" s="125"/>
      <c r="E173" s="125"/>
      <c r="F173" s="125"/>
      <c r="G173" s="125"/>
      <c r="H173" s="125"/>
      <c r="I173" s="125"/>
      <c r="J173" s="125"/>
      <c r="K173" s="114"/>
      <c r="L173" s="114"/>
    </row>
    <row r="174" spans="1:12" x14ac:dyDescent="0.3">
      <c r="A174" s="125"/>
      <c r="B174" s="114"/>
      <c r="C174" s="125"/>
      <c r="D174" s="125"/>
      <c r="E174" s="125"/>
      <c r="F174" s="125"/>
      <c r="G174" s="125"/>
      <c r="H174" s="125"/>
      <c r="I174" s="125"/>
      <c r="J174" s="125"/>
      <c r="K174" s="114"/>
      <c r="L174" s="114"/>
    </row>
    <row r="175" spans="1:12" x14ac:dyDescent="0.3">
      <c r="A175" s="125"/>
      <c r="B175" s="114"/>
      <c r="C175" s="125"/>
      <c r="D175" s="125"/>
      <c r="E175" s="125"/>
      <c r="F175" s="125"/>
      <c r="G175" s="125"/>
      <c r="H175" s="125"/>
      <c r="I175" s="125"/>
      <c r="J175" s="125"/>
      <c r="K175" s="114"/>
      <c r="L175" s="114"/>
    </row>
    <row r="176" spans="1:12" x14ac:dyDescent="0.3">
      <c r="A176" s="125"/>
      <c r="B176" s="114"/>
      <c r="C176" s="125"/>
      <c r="D176" s="125"/>
      <c r="E176" s="125"/>
      <c r="F176" s="125"/>
      <c r="G176" s="125"/>
      <c r="H176" s="125"/>
      <c r="I176" s="125"/>
      <c r="J176" s="125"/>
      <c r="K176" s="114"/>
      <c r="L176" s="114"/>
    </row>
    <row r="177" spans="1:12" x14ac:dyDescent="0.3">
      <c r="A177" s="125"/>
      <c r="B177" s="114"/>
      <c r="C177" s="125"/>
      <c r="D177" s="125"/>
      <c r="E177" s="125"/>
      <c r="F177" s="125"/>
      <c r="G177" s="125"/>
      <c r="H177" s="125"/>
      <c r="I177" s="125"/>
      <c r="J177" s="125"/>
      <c r="K177" s="114"/>
      <c r="L177" s="114"/>
    </row>
    <row r="178" spans="1:12" x14ac:dyDescent="0.3">
      <c r="A178" s="125"/>
      <c r="B178" s="114"/>
      <c r="C178" s="125"/>
      <c r="D178" s="125"/>
      <c r="E178" s="125"/>
      <c r="F178" s="125"/>
      <c r="G178" s="125"/>
      <c r="H178" s="125"/>
      <c r="I178" s="125"/>
      <c r="J178" s="125"/>
      <c r="K178" s="114"/>
      <c r="L178" s="114"/>
    </row>
    <row r="179" spans="1:12" x14ac:dyDescent="0.3">
      <c r="A179" s="125"/>
      <c r="B179" s="114"/>
      <c r="C179" s="125"/>
      <c r="D179" s="125"/>
      <c r="E179" s="125"/>
      <c r="F179" s="125"/>
      <c r="G179" s="125"/>
      <c r="H179" s="125"/>
      <c r="I179" s="125"/>
      <c r="J179" s="125"/>
      <c r="K179" s="114"/>
      <c r="L179" s="114"/>
    </row>
    <row r="180" spans="1:12" x14ac:dyDescent="0.3">
      <c r="A180" s="125"/>
      <c r="B180" s="114"/>
      <c r="C180" s="125"/>
      <c r="D180" s="125"/>
      <c r="E180" s="125"/>
      <c r="F180" s="125"/>
      <c r="G180" s="125"/>
      <c r="H180" s="125"/>
      <c r="I180" s="125"/>
      <c r="J180" s="125"/>
      <c r="K180" s="114"/>
      <c r="L180" s="114"/>
    </row>
    <row r="181" spans="1:12" x14ac:dyDescent="0.3">
      <c r="A181" s="125"/>
      <c r="B181" s="114"/>
      <c r="C181" s="125"/>
      <c r="D181" s="125"/>
      <c r="E181" s="125"/>
      <c r="F181" s="125"/>
      <c r="G181" s="125"/>
      <c r="H181" s="125"/>
      <c r="I181" s="125"/>
      <c r="J181" s="125"/>
      <c r="K181" s="114"/>
      <c r="L181" s="114"/>
    </row>
    <row r="182" spans="1:12" x14ac:dyDescent="0.3">
      <c r="A182" s="125"/>
      <c r="B182" s="114"/>
      <c r="C182" s="125"/>
      <c r="D182" s="125"/>
      <c r="E182" s="125"/>
      <c r="F182" s="125"/>
      <c r="G182" s="125"/>
      <c r="H182" s="125"/>
      <c r="I182" s="125"/>
      <c r="J182" s="125"/>
      <c r="K182" s="114"/>
      <c r="L182" s="114"/>
    </row>
    <row r="183" spans="1:12" x14ac:dyDescent="0.3">
      <c r="A183" s="125"/>
      <c r="B183" s="114"/>
      <c r="C183" s="125"/>
      <c r="D183" s="125"/>
      <c r="E183" s="125"/>
      <c r="F183" s="125"/>
      <c r="G183" s="125"/>
      <c r="H183" s="125"/>
      <c r="I183" s="125"/>
      <c r="J183" s="125"/>
      <c r="K183" s="114"/>
      <c r="L183" s="114"/>
    </row>
    <row r="184" spans="1:12" x14ac:dyDescent="0.3">
      <c r="A184" s="125"/>
      <c r="B184" s="114"/>
      <c r="C184" s="125"/>
      <c r="D184" s="125"/>
      <c r="E184" s="125"/>
      <c r="F184" s="125"/>
      <c r="G184" s="125"/>
      <c r="H184" s="125"/>
      <c r="I184" s="125"/>
      <c r="J184" s="125"/>
      <c r="K184" s="114"/>
      <c r="L184" s="114"/>
    </row>
    <row r="185" spans="1:12" x14ac:dyDescent="0.3">
      <c r="A185" s="125"/>
      <c r="B185" s="114"/>
      <c r="C185" s="125"/>
      <c r="D185" s="125"/>
      <c r="E185" s="125"/>
      <c r="F185" s="125"/>
      <c r="G185" s="125"/>
      <c r="H185" s="125"/>
      <c r="I185" s="125"/>
      <c r="J185" s="125"/>
      <c r="K185" s="114"/>
      <c r="L185" s="114"/>
    </row>
    <row r="186" spans="1:12" x14ac:dyDescent="0.3">
      <c r="A186" s="125"/>
      <c r="B186" s="114"/>
      <c r="C186" s="125"/>
      <c r="D186" s="125"/>
      <c r="E186" s="125"/>
      <c r="F186" s="125"/>
      <c r="G186" s="125"/>
      <c r="H186" s="125"/>
      <c r="I186" s="125"/>
      <c r="J186" s="125"/>
      <c r="K186" s="114"/>
      <c r="L186" s="114"/>
    </row>
    <row r="187" spans="1:12" x14ac:dyDescent="0.3">
      <c r="A187" s="125"/>
      <c r="B187" s="114"/>
      <c r="C187" s="125"/>
      <c r="D187" s="125"/>
      <c r="E187" s="125"/>
      <c r="F187" s="125"/>
      <c r="G187" s="125"/>
      <c r="H187" s="125"/>
      <c r="I187" s="125"/>
      <c r="J187" s="125"/>
      <c r="K187" s="114"/>
      <c r="L187" s="114"/>
    </row>
    <row r="188" spans="1:12" x14ac:dyDescent="0.3">
      <c r="A188" s="125"/>
      <c r="B188" s="114"/>
      <c r="C188" s="125"/>
      <c r="D188" s="125"/>
      <c r="E188" s="125"/>
      <c r="F188" s="125"/>
      <c r="G188" s="125"/>
      <c r="H188" s="125"/>
      <c r="I188" s="125"/>
      <c r="J188" s="125"/>
      <c r="K188" s="114"/>
      <c r="L188" s="114"/>
    </row>
    <row r="189" spans="1:12" x14ac:dyDescent="0.3">
      <c r="A189" s="125"/>
      <c r="B189" s="114"/>
      <c r="C189" s="125"/>
      <c r="D189" s="125"/>
      <c r="E189" s="125"/>
      <c r="F189" s="125"/>
      <c r="G189" s="125"/>
      <c r="H189" s="125"/>
      <c r="I189" s="125"/>
      <c r="J189" s="125"/>
      <c r="K189" s="114"/>
      <c r="L189" s="114"/>
    </row>
    <row r="190" spans="1:12" x14ac:dyDescent="0.3">
      <c r="A190" s="125"/>
      <c r="B190" s="114"/>
      <c r="C190" s="125"/>
      <c r="D190" s="125"/>
      <c r="E190" s="125"/>
      <c r="F190" s="125"/>
      <c r="G190" s="125"/>
      <c r="H190" s="125"/>
      <c r="I190" s="125"/>
      <c r="J190" s="125"/>
      <c r="K190" s="114"/>
      <c r="L190" s="114"/>
    </row>
    <row r="191" spans="1:12" x14ac:dyDescent="0.3">
      <c r="A191" s="125"/>
      <c r="B191" s="114"/>
      <c r="C191" s="125"/>
      <c r="D191" s="125"/>
      <c r="E191" s="125"/>
      <c r="F191" s="125"/>
      <c r="G191" s="125"/>
      <c r="H191" s="125"/>
      <c r="I191" s="125"/>
      <c r="J191" s="125"/>
      <c r="K191" s="114"/>
      <c r="L191" s="114"/>
    </row>
    <row r="192" spans="1:12" x14ac:dyDescent="0.3">
      <c r="A192" s="125"/>
      <c r="B192" s="114"/>
      <c r="C192" s="125"/>
      <c r="D192" s="125"/>
      <c r="E192" s="125"/>
      <c r="F192" s="125"/>
      <c r="G192" s="125"/>
      <c r="H192" s="125"/>
      <c r="I192" s="125"/>
      <c r="J192" s="125"/>
      <c r="K192" s="114"/>
      <c r="L192" s="114"/>
    </row>
    <row r="193" spans="1:12" x14ac:dyDescent="0.3">
      <c r="A193" s="125"/>
      <c r="B193" s="114"/>
      <c r="C193" s="125"/>
      <c r="D193" s="125"/>
      <c r="E193" s="125"/>
      <c r="F193" s="125"/>
      <c r="G193" s="125"/>
      <c r="H193" s="125"/>
      <c r="I193" s="125"/>
      <c r="J193" s="125"/>
      <c r="K193" s="114"/>
      <c r="L193" s="114"/>
    </row>
    <row r="194" spans="1:12" x14ac:dyDescent="0.3">
      <c r="A194" s="125"/>
      <c r="B194" s="114"/>
      <c r="C194" s="125"/>
      <c r="D194" s="125"/>
      <c r="E194" s="125"/>
      <c r="F194" s="125"/>
      <c r="G194" s="125"/>
      <c r="H194" s="125"/>
      <c r="I194" s="125"/>
      <c r="J194" s="125"/>
      <c r="K194" s="114"/>
      <c r="L194" s="114"/>
    </row>
    <row r="195" spans="1:12" x14ac:dyDescent="0.3">
      <c r="A195" s="125"/>
      <c r="B195" s="114"/>
      <c r="C195" s="125"/>
      <c r="D195" s="125"/>
      <c r="E195" s="125"/>
      <c r="F195" s="125"/>
      <c r="G195" s="125"/>
      <c r="H195" s="125"/>
      <c r="I195" s="125"/>
      <c r="J195" s="125"/>
      <c r="K195" s="114"/>
      <c r="L195" s="114"/>
    </row>
    <row r="196" spans="1:12" x14ac:dyDescent="0.3">
      <c r="A196" s="125"/>
      <c r="B196" s="114"/>
      <c r="C196" s="125"/>
      <c r="D196" s="125"/>
      <c r="E196" s="125"/>
      <c r="F196" s="125"/>
      <c r="G196" s="125"/>
      <c r="H196" s="125"/>
      <c r="I196" s="125"/>
      <c r="J196" s="125"/>
      <c r="K196" s="114"/>
      <c r="L196" s="114"/>
    </row>
    <row r="197" spans="1:12" x14ac:dyDescent="0.3">
      <c r="A197" s="125"/>
      <c r="B197" s="114"/>
      <c r="C197" s="125"/>
      <c r="D197" s="125"/>
      <c r="E197" s="125"/>
      <c r="F197" s="125"/>
      <c r="G197" s="125"/>
      <c r="H197" s="125"/>
      <c r="I197" s="125"/>
      <c r="J197" s="125"/>
      <c r="K197" s="114"/>
      <c r="L197" s="114"/>
    </row>
    <row r="198" spans="1:12" x14ac:dyDescent="0.3">
      <c r="A198" s="125"/>
      <c r="B198" s="114"/>
      <c r="C198" s="125"/>
      <c r="D198" s="125"/>
      <c r="E198" s="125"/>
      <c r="F198" s="125"/>
      <c r="G198" s="125"/>
      <c r="H198" s="125"/>
      <c r="I198" s="125"/>
      <c r="J198" s="125"/>
      <c r="K198" s="114"/>
      <c r="L198" s="114"/>
    </row>
    <row r="199" spans="1:12" x14ac:dyDescent="0.3">
      <c r="A199" s="125"/>
      <c r="B199" s="114"/>
      <c r="C199" s="125"/>
      <c r="D199" s="125"/>
      <c r="E199" s="125"/>
      <c r="F199" s="125"/>
      <c r="G199" s="125"/>
      <c r="H199" s="125"/>
      <c r="I199" s="125"/>
      <c r="J199" s="125"/>
      <c r="K199" s="114"/>
      <c r="L199" s="114"/>
    </row>
    <row r="200" spans="1:12" x14ac:dyDescent="0.3">
      <c r="A200" s="125"/>
      <c r="B200" s="114"/>
      <c r="C200" s="125"/>
      <c r="D200" s="125"/>
      <c r="E200" s="125"/>
      <c r="F200" s="125"/>
      <c r="G200" s="125"/>
      <c r="H200" s="125"/>
      <c r="I200" s="125"/>
      <c r="J200" s="125"/>
      <c r="K200" s="114"/>
      <c r="L200" s="114"/>
    </row>
    <row r="201" spans="1:12" x14ac:dyDescent="0.3">
      <c r="A201" s="125"/>
      <c r="B201" s="114"/>
      <c r="C201" s="125"/>
      <c r="D201" s="125"/>
      <c r="E201" s="125"/>
      <c r="F201" s="125"/>
      <c r="G201" s="125"/>
      <c r="H201" s="125"/>
      <c r="I201" s="125"/>
      <c r="J201" s="125"/>
      <c r="K201" s="114"/>
      <c r="L201" s="114"/>
    </row>
    <row r="202" spans="1:12" x14ac:dyDescent="0.3">
      <c r="A202" s="125"/>
      <c r="B202" s="114"/>
      <c r="C202" s="125"/>
      <c r="D202" s="125"/>
      <c r="E202" s="125"/>
      <c r="F202" s="125"/>
      <c r="G202" s="125"/>
      <c r="H202" s="125"/>
      <c r="I202" s="125"/>
      <c r="J202" s="125"/>
      <c r="K202" s="114"/>
      <c r="L202" s="114"/>
    </row>
    <row r="203" spans="1:12" x14ac:dyDescent="0.3">
      <c r="A203" s="125"/>
      <c r="B203" s="114"/>
      <c r="C203" s="125"/>
      <c r="D203" s="125"/>
      <c r="E203" s="125"/>
      <c r="F203" s="125"/>
      <c r="G203" s="125"/>
      <c r="H203" s="125"/>
      <c r="I203" s="125"/>
      <c r="J203" s="125"/>
      <c r="K203" s="114"/>
      <c r="L203" s="114"/>
    </row>
    <row r="204" spans="1:12" x14ac:dyDescent="0.3">
      <c r="A204" s="125"/>
      <c r="B204" s="114"/>
      <c r="C204" s="125"/>
      <c r="D204" s="125"/>
      <c r="E204" s="125"/>
      <c r="F204" s="125"/>
      <c r="G204" s="125"/>
      <c r="H204" s="125"/>
      <c r="I204" s="125"/>
      <c r="J204" s="125"/>
      <c r="K204" s="114"/>
      <c r="L204" s="114"/>
    </row>
    <row r="205" spans="1:12" x14ac:dyDescent="0.3">
      <c r="A205" s="125"/>
      <c r="B205" s="114"/>
      <c r="C205" s="125"/>
      <c r="D205" s="125"/>
      <c r="E205" s="125"/>
      <c r="F205" s="125"/>
      <c r="G205" s="125"/>
      <c r="H205" s="125"/>
      <c r="I205" s="125"/>
      <c r="J205" s="125"/>
      <c r="K205" s="114"/>
      <c r="L205" s="114"/>
    </row>
    <row r="206" spans="1:12" x14ac:dyDescent="0.3">
      <c r="A206" s="125"/>
      <c r="B206" s="114"/>
      <c r="C206" s="125"/>
      <c r="D206" s="125"/>
      <c r="E206" s="125"/>
      <c r="F206" s="125"/>
      <c r="G206" s="125"/>
      <c r="H206" s="125"/>
      <c r="I206" s="125"/>
      <c r="J206" s="125"/>
      <c r="K206" s="114"/>
      <c r="L206" s="114"/>
    </row>
    <row r="207" spans="1:12" x14ac:dyDescent="0.3">
      <c r="A207" s="125"/>
      <c r="B207" s="114"/>
      <c r="C207" s="125"/>
      <c r="D207" s="125"/>
      <c r="E207" s="125"/>
      <c r="F207" s="125"/>
      <c r="G207" s="125"/>
      <c r="H207" s="125"/>
      <c r="I207" s="125"/>
      <c r="J207" s="125"/>
      <c r="K207" s="114"/>
      <c r="L207" s="114"/>
    </row>
    <row r="208" spans="1:12" x14ac:dyDescent="0.3">
      <c r="A208" s="125"/>
      <c r="B208" s="114"/>
      <c r="C208" s="125"/>
      <c r="D208" s="125"/>
      <c r="E208" s="125"/>
      <c r="F208" s="125"/>
      <c r="G208" s="125"/>
      <c r="H208" s="125"/>
      <c r="I208" s="125"/>
      <c r="J208" s="125"/>
      <c r="K208" s="114"/>
      <c r="L208" s="114"/>
    </row>
    <row r="209" spans="1:12" x14ac:dyDescent="0.3">
      <c r="A209" s="125"/>
      <c r="B209" s="114"/>
      <c r="C209" s="125"/>
      <c r="D209" s="125"/>
      <c r="E209" s="125"/>
      <c r="F209" s="125"/>
      <c r="G209" s="125"/>
      <c r="H209" s="125"/>
      <c r="I209" s="125"/>
      <c r="J209" s="125"/>
      <c r="K209" s="114"/>
      <c r="L209" s="114"/>
    </row>
    <row r="210" spans="1:12" x14ac:dyDescent="0.3">
      <c r="A210" s="125"/>
      <c r="B210" s="114"/>
      <c r="C210" s="125"/>
      <c r="D210" s="125"/>
      <c r="E210" s="125"/>
      <c r="F210" s="125"/>
      <c r="G210" s="125"/>
      <c r="H210" s="125"/>
      <c r="I210" s="125"/>
      <c r="J210" s="125"/>
      <c r="K210" s="114"/>
      <c r="L210" s="114"/>
    </row>
    <row r="211" spans="1:12" x14ac:dyDescent="0.3">
      <c r="A211" s="125"/>
      <c r="B211" s="114"/>
      <c r="C211" s="125"/>
      <c r="D211" s="125"/>
      <c r="E211" s="125"/>
      <c r="F211" s="125"/>
      <c r="G211" s="125"/>
      <c r="H211" s="125"/>
      <c r="I211" s="125"/>
      <c r="J211" s="125"/>
      <c r="K211" s="114"/>
      <c r="L211" s="114"/>
    </row>
    <row r="212" spans="1:12" x14ac:dyDescent="0.3">
      <c r="A212" s="125"/>
      <c r="B212" s="114"/>
      <c r="C212" s="125"/>
      <c r="D212" s="125"/>
      <c r="E212" s="125"/>
      <c r="F212" s="125"/>
      <c r="G212" s="125"/>
      <c r="H212" s="125"/>
      <c r="I212" s="125"/>
      <c r="J212" s="125"/>
      <c r="K212" s="114"/>
      <c r="L212" s="114"/>
    </row>
    <row r="213" spans="1:12" x14ac:dyDescent="0.3">
      <c r="A213" s="125"/>
      <c r="B213" s="114"/>
      <c r="C213" s="125"/>
      <c r="D213" s="125"/>
      <c r="E213" s="125"/>
      <c r="F213" s="125"/>
      <c r="G213" s="125"/>
      <c r="H213" s="125"/>
      <c r="I213" s="125"/>
      <c r="J213" s="125"/>
      <c r="K213" s="114"/>
      <c r="L213" s="114"/>
    </row>
    <row r="214" spans="1:12" x14ac:dyDescent="0.3">
      <c r="A214" s="125"/>
      <c r="B214" s="114"/>
      <c r="C214" s="125"/>
      <c r="D214" s="125"/>
      <c r="E214" s="125"/>
      <c r="F214" s="125"/>
      <c r="G214" s="125"/>
      <c r="H214" s="125"/>
      <c r="I214" s="125"/>
      <c r="J214" s="125"/>
      <c r="K214" s="114"/>
      <c r="L214" s="114"/>
    </row>
    <row r="215" spans="1:12" x14ac:dyDescent="0.3">
      <c r="A215" s="125"/>
      <c r="B215" s="114"/>
      <c r="C215" s="125"/>
      <c r="D215" s="125"/>
      <c r="E215" s="125"/>
      <c r="F215" s="125"/>
      <c r="G215" s="125"/>
      <c r="H215" s="125"/>
      <c r="I215" s="125"/>
      <c r="J215" s="125"/>
      <c r="K215" s="114"/>
      <c r="L215" s="114"/>
    </row>
    <row r="216" spans="1:12" x14ac:dyDescent="0.3">
      <c r="A216" s="125"/>
      <c r="B216" s="114"/>
      <c r="C216" s="125"/>
      <c r="D216" s="125"/>
      <c r="E216" s="125"/>
      <c r="F216" s="125"/>
      <c r="G216" s="125"/>
      <c r="H216" s="125"/>
      <c r="I216" s="125"/>
      <c r="J216" s="125"/>
      <c r="K216" s="114"/>
      <c r="L216" s="114"/>
    </row>
    <row r="217" spans="1:12" x14ac:dyDescent="0.3">
      <c r="A217" s="125"/>
      <c r="B217" s="114"/>
      <c r="C217" s="125"/>
      <c r="D217" s="125"/>
      <c r="E217" s="125"/>
      <c r="F217" s="125"/>
      <c r="G217" s="125"/>
      <c r="H217" s="125"/>
      <c r="I217" s="125"/>
      <c r="J217" s="125"/>
      <c r="K217" s="114"/>
      <c r="L217" s="114"/>
    </row>
    <row r="218" spans="1:12" x14ac:dyDescent="0.3">
      <c r="A218" s="125"/>
      <c r="B218" s="114"/>
      <c r="C218" s="125"/>
      <c r="D218" s="125"/>
      <c r="E218" s="125"/>
      <c r="F218" s="125"/>
      <c r="G218" s="125"/>
      <c r="H218" s="125"/>
      <c r="I218" s="125"/>
      <c r="J218" s="125"/>
      <c r="K218" s="114"/>
      <c r="L218" s="114"/>
    </row>
    <row r="219" spans="1:12" x14ac:dyDescent="0.3">
      <c r="A219" s="125"/>
      <c r="B219" s="114"/>
      <c r="C219" s="125"/>
      <c r="D219" s="125"/>
      <c r="E219" s="125"/>
      <c r="F219" s="125"/>
      <c r="G219" s="125"/>
      <c r="H219" s="125"/>
      <c r="I219" s="125"/>
      <c r="J219" s="125"/>
      <c r="K219" s="114"/>
      <c r="L219" s="114"/>
    </row>
    <row r="220" spans="1:12" x14ac:dyDescent="0.3">
      <c r="A220" s="125"/>
      <c r="B220" s="114"/>
      <c r="C220" s="125"/>
      <c r="D220" s="125"/>
      <c r="E220" s="125"/>
      <c r="F220" s="125"/>
      <c r="G220" s="125"/>
      <c r="H220" s="125"/>
      <c r="I220" s="125"/>
      <c r="J220" s="125"/>
      <c r="K220" s="114"/>
      <c r="L220" s="114"/>
    </row>
    <row r="221" spans="1:12" x14ac:dyDescent="0.3">
      <c r="A221" s="125"/>
      <c r="B221" s="114"/>
      <c r="C221" s="125"/>
      <c r="D221" s="125"/>
      <c r="E221" s="125"/>
      <c r="F221" s="125"/>
      <c r="G221" s="125"/>
      <c r="H221" s="125"/>
      <c r="I221" s="125"/>
      <c r="J221" s="125"/>
      <c r="K221" s="114"/>
      <c r="L221" s="114"/>
    </row>
    <row r="222" spans="1:12" x14ac:dyDescent="0.3">
      <c r="A222" s="125"/>
      <c r="B222" s="114"/>
      <c r="C222" s="125"/>
      <c r="D222" s="125"/>
      <c r="E222" s="125"/>
      <c r="F222" s="125"/>
      <c r="G222" s="125"/>
      <c r="H222" s="125"/>
      <c r="I222" s="125"/>
      <c r="J222" s="125"/>
      <c r="K222" s="114"/>
      <c r="L222" s="114"/>
    </row>
    <row r="223" spans="1:12" x14ac:dyDescent="0.3">
      <c r="A223" s="125"/>
      <c r="B223" s="114"/>
      <c r="C223" s="125"/>
      <c r="D223" s="125"/>
      <c r="E223" s="125"/>
      <c r="F223" s="125"/>
      <c r="G223" s="125"/>
      <c r="H223" s="125"/>
      <c r="I223" s="125"/>
      <c r="J223" s="125"/>
      <c r="K223" s="114"/>
      <c r="L223" s="114"/>
    </row>
    <row r="224" spans="1:12" x14ac:dyDescent="0.3">
      <c r="A224" s="125"/>
      <c r="B224" s="114"/>
      <c r="C224" s="125"/>
      <c r="D224" s="125"/>
      <c r="E224" s="125"/>
      <c r="F224" s="125"/>
      <c r="G224" s="125"/>
      <c r="H224" s="125"/>
      <c r="I224" s="125"/>
      <c r="J224" s="125"/>
      <c r="K224" s="114"/>
      <c r="L224" s="114"/>
    </row>
    <row r="225" spans="1:12" x14ac:dyDescent="0.3">
      <c r="A225" s="125"/>
      <c r="B225" s="114"/>
      <c r="C225" s="125"/>
      <c r="D225" s="125"/>
      <c r="E225" s="125"/>
      <c r="F225" s="125"/>
      <c r="G225" s="125"/>
      <c r="H225" s="125"/>
      <c r="I225" s="125"/>
      <c r="J225" s="125"/>
      <c r="K225" s="114"/>
      <c r="L225" s="114"/>
    </row>
    <row r="226" spans="1:12" x14ac:dyDescent="0.3">
      <c r="A226" s="125"/>
      <c r="B226" s="114"/>
      <c r="C226" s="125"/>
      <c r="D226" s="125"/>
      <c r="E226" s="125"/>
      <c r="F226" s="125"/>
      <c r="G226" s="125"/>
      <c r="H226" s="125"/>
      <c r="I226" s="125"/>
      <c r="J226" s="125"/>
      <c r="K226" s="114"/>
      <c r="L226" s="114"/>
    </row>
    <row r="227" spans="1:12" x14ac:dyDescent="0.3">
      <c r="A227" s="125"/>
      <c r="B227" s="114"/>
      <c r="C227" s="125"/>
      <c r="D227" s="125"/>
      <c r="E227" s="125"/>
      <c r="F227" s="125"/>
      <c r="G227" s="125"/>
      <c r="H227" s="125"/>
      <c r="I227" s="125"/>
      <c r="J227" s="125"/>
      <c r="K227" s="114"/>
      <c r="L227" s="114"/>
    </row>
    <row r="228" spans="1:12" x14ac:dyDescent="0.3">
      <c r="A228" s="125"/>
      <c r="B228" s="114"/>
      <c r="C228" s="125"/>
      <c r="D228" s="125"/>
      <c r="E228" s="125"/>
      <c r="F228" s="125"/>
      <c r="G228" s="125"/>
      <c r="H228" s="125"/>
      <c r="I228" s="125"/>
      <c r="J228" s="125"/>
      <c r="K228" s="114"/>
      <c r="L228" s="114"/>
    </row>
    <row r="229" spans="1:12" x14ac:dyDescent="0.3">
      <c r="A229" s="125"/>
      <c r="B229" s="114"/>
      <c r="C229" s="125"/>
      <c r="D229" s="125"/>
      <c r="E229" s="125"/>
      <c r="F229" s="125"/>
      <c r="G229" s="125"/>
      <c r="H229" s="125"/>
      <c r="I229" s="125"/>
      <c r="J229" s="125"/>
      <c r="K229" s="114"/>
      <c r="L229" s="114"/>
    </row>
    <row r="230" spans="1:12" x14ac:dyDescent="0.3">
      <c r="A230" s="125"/>
      <c r="B230" s="114"/>
      <c r="C230" s="125"/>
      <c r="D230" s="125"/>
      <c r="E230" s="125"/>
      <c r="F230" s="125"/>
      <c r="G230" s="125"/>
      <c r="H230" s="125"/>
      <c r="I230" s="125"/>
      <c r="J230" s="125"/>
      <c r="K230" s="114"/>
      <c r="L230" s="114"/>
    </row>
    <row r="231" spans="1:12" x14ac:dyDescent="0.3">
      <c r="A231" s="125"/>
      <c r="B231" s="114"/>
      <c r="C231" s="125"/>
      <c r="D231" s="125"/>
      <c r="E231" s="125"/>
      <c r="F231" s="125"/>
      <c r="G231" s="125"/>
      <c r="H231" s="125"/>
      <c r="I231" s="125"/>
      <c r="J231" s="125"/>
      <c r="K231" s="114"/>
      <c r="L231" s="114"/>
    </row>
    <row r="232" spans="1:12" x14ac:dyDescent="0.3">
      <c r="A232" s="125"/>
      <c r="B232" s="114"/>
      <c r="C232" s="125"/>
      <c r="D232" s="125"/>
      <c r="E232" s="125"/>
      <c r="F232" s="125"/>
      <c r="G232" s="125"/>
      <c r="H232" s="125"/>
      <c r="I232" s="125"/>
      <c r="J232" s="125"/>
      <c r="K232" s="114"/>
      <c r="L232" s="114"/>
    </row>
    <row r="233" spans="1:12" x14ac:dyDescent="0.3">
      <c r="A233" s="125"/>
      <c r="B233" s="114"/>
      <c r="C233" s="125"/>
      <c r="D233" s="125"/>
      <c r="E233" s="125"/>
      <c r="F233" s="125"/>
      <c r="G233" s="125"/>
      <c r="H233" s="125"/>
      <c r="I233" s="125"/>
      <c r="J233" s="125"/>
      <c r="K233" s="114"/>
      <c r="L233" s="114"/>
    </row>
    <row r="234" spans="1:12" x14ac:dyDescent="0.3">
      <c r="A234" s="125"/>
      <c r="B234" s="114"/>
      <c r="C234" s="125"/>
      <c r="D234" s="125"/>
      <c r="E234" s="125"/>
      <c r="F234" s="125"/>
      <c r="G234" s="125"/>
      <c r="H234" s="125"/>
      <c r="I234" s="125"/>
      <c r="J234" s="125"/>
      <c r="K234" s="114"/>
      <c r="L234" s="114"/>
    </row>
    <row r="235" spans="1:12" x14ac:dyDescent="0.3">
      <c r="A235" s="125"/>
      <c r="B235" s="114"/>
      <c r="C235" s="125"/>
      <c r="D235" s="125"/>
      <c r="E235" s="125"/>
      <c r="F235" s="125"/>
      <c r="G235" s="125"/>
      <c r="H235" s="125"/>
      <c r="I235" s="125"/>
      <c r="J235" s="125"/>
      <c r="K235" s="114"/>
      <c r="L235" s="114"/>
    </row>
    <row r="236" spans="1:12" x14ac:dyDescent="0.3">
      <c r="A236" s="125"/>
      <c r="B236" s="114"/>
      <c r="C236" s="125"/>
      <c r="D236" s="125"/>
      <c r="E236" s="125"/>
      <c r="F236" s="125"/>
      <c r="G236" s="125"/>
      <c r="H236" s="125"/>
      <c r="I236" s="125"/>
      <c r="J236" s="125"/>
      <c r="K236" s="114"/>
      <c r="L236" s="114"/>
    </row>
    <row r="237" spans="1:12" x14ac:dyDescent="0.3">
      <c r="A237" s="125"/>
      <c r="B237" s="114"/>
      <c r="C237" s="125"/>
      <c r="D237" s="125"/>
      <c r="E237" s="125"/>
      <c r="F237" s="125"/>
      <c r="G237" s="125"/>
      <c r="H237" s="125"/>
      <c r="I237" s="125"/>
      <c r="J237" s="125"/>
      <c r="K237" s="114"/>
      <c r="L237" s="114"/>
    </row>
    <row r="238" spans="1:12" x14ac:dyDescent="0.3">
      <c r="A238" s="125"/>
      <c r="B238" s="114"/>
      <c r="C238" s="125"/>
      <c r="D238" s="125"/>
      <c r="E238" s="125"/>
      <c r="F238" s="125"/>
      <c r="G238" s="125"/>
      <c r="H238" s="125"/>
      <c r="I238" s="125"/>
      <c r="J238" s="125"/>
      <c r="K238" s="114"/>
      <c r="L238" s="114"/>
    </row>
    <row r="239" spans="1:12" x14ac:dyDescent="0.3">
      <c r="A239" s="125"/>
      <c r="B239" s="114"/>
      <c r="C239" s="125"/>
      <c r="D239" s="125"/>
      <c r="E239" s="125"/>
      <c r="F239" s="125"/>
      <c r="G239" s="125"/>
      <c r="H239" s="125"/>
      <c r="I239" s="125"/>
      <c r="J239" s="125"/>
      <c r="K239" s="114"/>
      <c r="L239" s="114"/>
    </row>
    <row r="240" spans="1:12" x14ac:dyDescent="0.3">
      <c r="A240" s="125"/>
      <c r="B240" s="114"/>
      <c r="C240" s="125"/>
      <c r="D240" s="125"/>
      <c r="E240" s="125"/>
      <c r="F240" s="125"/>
      <c r="G240" s="125"/>
      <c r="H240" s="125"/>
      <c r="I240" s="125"/>
      <c r="J240" s="125"/>
      <c r="K240" s="114"/>
      <c r="L240" s="114"/>
    </row>
  </sheetData>
  <mergeCells count="1">
    <mergeCell ref="A1:J1"/>
  </mergeCells>
  <conditionalFormatting sqref="A3:I240">
    <cfRule type="expression" dxfId="26" priority="1" stopIfTrue="1">
      <formula>AND(ROW()=$N$1,ISNUMBER($A3))</formula>
    </cfRule>
    <cfRule type="expression" dxfId="25" priority="2">
      <formula>AND(ISNUMBER($J3),$J3&gt;0)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94" t="s">
        <v>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">
      <c r="A2" s="93" t="s">
        <v>1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</row>
    <row r="4" spans="1:14" x14ac:dyDescent="0.3">
      <c r="A4" s="91" t="s">
        <v>2</v>
      </c>
      <c r="B4" s="91"/>
      <c r="C4" s="91"/>
      <c r="E4" s="95" t="s">
        <v>417</v>
      </c>
      <c r="F4" s="96"/>
      <c r="G4" s="96"/>
      <c r="H4" s="97"/>
    </row>
    <row r="5" spans="1:14" x14ac:dyDescent="0.3">
      <c r="A5" s="2" t="s">
        <v>492</v>
      </c>
      <c r="C5" s="3" t="s">
        <v>493</v>
      </c>
      <c r="E5" s="98" t="s">
        <v>418</v>
      </c>
      <c r="F5" s="99"/>
      <c r="G5" s="100" t="s">
        <v>17</v>
      </c>
      <c r="H5" s="101"/>
    </row>
    <row r="6" spans="1:14" x14ac:dyDescent="0.3">
      <c r="A6" s="4" t="s">
        <v>3</v>
      </c>
      <c r="C6" s="36">
        <v>72</v>
      </c>
      <c r="E6" s="98" t="s">
        <v>419</v>
      </c>
      <c r="F6" s="99"/>
      <c r="G6" s="100">
        <v>2</v>
      </c>
      <c r="H6" s="101"/>
      <c r="J6" s="155" t="s">
        <v>509</v>
      </c>
      <c r="K6" s="154"/>
      <c r="L6" s="154"/>
    </row>
    <row r="7" spans="1:14" x14ac:dyDescent="0.3">
      <c r="A7" s="35" t="s">
        <v>415</v>
      </c>
      <c r="C7" s="37" t="s">
        <v>416</v>
      </c>
      <c r="E7" s="102" t="s">
        <v>420</v>
      </c>
      <c r="F7" s="103"/>
      <c r="G7" s="103"/>
      <c r="H7" s="104"/>
      <c r="J7" s="156" t="s">
        <v>496</v>
      </c>
      <c r="K7" s="157"/>
      <c r="L7" s="158"/>
    </row>
    <row r="8" spans="1:14" x14ac:dyDescent="0.3">
      <c r="A8" s="91" t="s">
        <v>4</v>
      </c>
      <c r="B8" s="91"/>
      <c r="C8" s="91"/>
      <c r="D8" s="91"/>
      <c r="E8" s="91"/>
      <c r="F8" s="91"/>
      <c r="G8" s="91"/>
      <c r="H8" s="91"/>
    </row>
    <row r="9" spans="1:14" x14ac:dyDescent="0.3">
      <c r="A9" s="88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1" t="s">
        <v>13</v>
      </c>
      <c r="K9" s="91"/>
      <c r="L9" s="91"/>
      <c r="M9" s="91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5" t="s">
        <v>16</v>
      </c>
      <c r="K10" s="105"/>
      <c r="L10" s="106">
        <f>F30</f>
        <v>720</v>
      </c>
      <c r="M10" s="106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5" t="s">
        <v>18</v>
      </c>
      <c r="K11" s="105"/>
      <c r="L11" s="106" t="e">
        <f>C5*C6</f>
        <v>#VALUE!</v>
      </c>
      <c r="M11" s="106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5" t="s">
        <v>19</v>
      </c>
      <c r="K12" s="105"/>
      <c r="L12" s="106" t="e">
        <f>F30-C5*C6</f>
        <v>#VALUE!</v>
      </c>
      <c r="M12" s="106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5" t="s">
        <v>22</v>
      </c>
      <c r="K13" s="105"/>
      <c r="L13" s="106">
        <f>IF(F30=0,0,ROUNDUP(F30/C6,0))</f>
        <v>10</v>
      </c>
      <c r="M13" s="106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5" t="s">
        <v>24</v>
      </c>
      <c r="K14" s="105"/>
      <c r="L14" s="106">
        <f>COUNTIF($L$34:$L$47,"OK 72")</f>
        <v>10</v>
      </c>
      <c r="M14" s="106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5" t="s">
        <v>25</v>
      </c>
      <c r="K15" s="105"/>
      <c r="L15" s="106">
        <f>COUNTA($B$34:$J$47)</f>
        <v>58</v>
      </c>
      <c r="M15" s="106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5" t="s">
        <v>26</v>
      </c>
      <c r="K16" s="105"/>
      <c r="L16" s="106">
        <f>E30-COUNTA($B$34:$J$47)</f>
        <v>0</v>
      </c>
      <c r="M16" s="106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7" t="s">
        <v>27</v>
      </c>
      <c r="K17" s="107"/>
      <c r="L17" s="108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08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8" t="s">
        <v>28</v>
      </c>
      <c r="B30" s="108"/>
      <c r="C30" s="108"/>
      <c r="D30" s="108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1" t="s">
        <v>29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66" t="s">
        <v>14</v>
      </c>
      <c r="C50" s="67" t="s">
        <v>17</v>
      </c>
      <c r="D50" s="68" t="s">
        <v>20</v>
      </c>
      <c r="E50" s="69" t="s">
        <v>67</v>
      </c>
      <c r="F50" s="70" t="s">
        <v>68</v>
      </c>
      <c r="G50" s="71" t="s">
        <v>69</v>
      </c>
      <c r="H50" s="72" t="s">
        <v>70</v>
      </c>
    </row>
    <row r="51" spans="1:13" x14ac:dyDescent="0.3">
      <c r="A51" s="12" t="s">
        <v>71</v>
      </c>
      <c r="B51" s="73" t="s">
        <v>23</v>
      </c>
      <c r="C51" s="74" t="s">
        <v>15</v>
      </c>
      <c r="D51" s="75" t="s">
        <v>72</v>
      </c>
      <c r="E51" s="76" t="s">
        <v>73</v>
      </c>
      <c r="F51" s="77" t="s">
        <v>74</v>
      </c>
      <c r="G51" s="78" t="s">
        <v>21</v>
      </c>
    </row>
    <row r="52" spans="1:13" x14ac:dyDescent="0.3">
      <c r="A52" s="93" t="s">
        <v>75</v>
      </c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89" t="s">
        <v>495</v>
      </c>
    </row>
  </sheetData>
  <mergeCells count="32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  <mergeCell ref="J6:L6"/>
    <mergeCell ref="J7:L7"/>
  </mergeCells>
  <conditionalFormatting sqref="B34:J47">
    <cfRule type="expression" dxfId="20" priority="2">
      <formula>AND(B34&lt;&gt;"",IFERROR(MID(B34,FIND("-",B34)+1,FIND("-",B34,FIND("-",B34)+1)-FIND("-",B34)-1),"")="8")</formula>
    </cfRule>
    <cfRule type="expression" dxfId="19" priority="3">
      <formula>AND(B34&lt;&gt;"",IFERROR(MID(B34,FIND("-",B34)+1,FIND("-",B34,FIND("-",B34)+1)-FIND("-",B34)-1),"")="10")</formula>
    </cfRule>
    <cfRule type="expression" dxfId="18" priority="4">
      <formula>AND(B34&lt;&gt;"",IFERROR(MID(B34,FIND("-",B34)+1,FIND("-",B34,FIND("-",B34)+1)-FIND("-",B34)-1),"")="12")</formula>
    </cfRule>
    <cfRule type="expression" dxfId="17" priority="5">
      <formula>AND(B34&lt;&gt;"",IFERROR(MID(B34,FIND("-",B34)+1,FIND("-",B34,FIND("-",B34)+1)-FIND("-",B34)-1),"")="14")</formula>
    </cfRule>
    <cfRule type="expression" dxfId="16" priority="6">
      <formula>AND(B34&lt;&gt;"",IFERROR(MID(B34,FIND("-",B34)+1,FIND("-",B34,FIND("-",B34)+1)-FIND("-",B34)-1),"")="16")</formula>
    </cfRule>
    <cfRule type="expression" dxfId="15" priority="7">
      <formula>AND(B34&lt;&gt;"",IFERROR(MID(B34,FIND("-",B34)+1,FIND("-",B34,FIND("-",B34)+1)-FIND("-",B34)-1),"")="18")</formula>
    </cfRule>
    <cfRule type="expression" dxfId="14" priority="8">
      <formula>AND(B34&lt;&gt;"",IFERROR(MID(B34,FIND("-",B34)+1,FIND("-",B34,FIND("-",B34)+1)-FIND("-",B34)-1),"")="20")</formula>
    </cfRule>
    <cfRule type="expression" dxfId="13" priority="9">
      <formula>AND(B34&lt;&gt;"",IFERROR(LEFT(B34,FIND("-",B34)-1),"")="2x4")</formula>
    </cfRule>
    <cfRule type="expression" dxfId="12" priority="10">
      <formula>AND(B34&lt;&gt;"",IFERROR(LEFT(B34,FIND("-",B34)-1),"")="2x6")</formula>
    </cfRule>
    <cfRule type="expression" dxfId="11" priority="11">
      <formula>AND(B34&lt;&gt;"",IFERROR(LEFT(B34,FIND("-",B34)-1),"")="2x8")</formula>
    </cfRule>
    <cfRule type="expression" dxfId="10" priority="12">
      <formula>AND(B34&lt;&gt;"",IFERROR(LEFT(B34,FIND("-",B34)-1),"")="2x10")</formula>
    </cfRule>
    <cfRule type="expression" dxfId="9" priority="13">
      <formula>AND(B34&lt;&gt;"",IFERROR(LEFT(B34,FIND("-",B34)-1),"")="4x4")</formula>
    </cfRule>
    <cfRule type="expression" dxfId="8" priority="14">
      <formula>AND(B34&lt;&gt;"",IFERROR(LEFT(B34,FIND("-",B34)-1),"")="4x6")</formula>
    </cfRule>
    <cfRule type="expression" dxfId="7" priority="15">
      <formula>AND(B34&lt;&gt;"",IFERROR(LEFT(B34,FIND("-",B34)-1),"")="6x6")</formula>
    </cfRule>
    <cfRule type="expression" dxfId="6" priority="16">
      <formula>AND(B34&lt;&gt;"",IFERROR(MID(B34,FIND("-",B34,FIND("-",B34)+1)+1,9),"")="1")</formula>
    </cfRule>
    <cfRule type="expression" dxfId="5" priority="17">
      <formula>AND(B34&lt;&gt;"",IFERROR(MID(B34,FIND("-",B34,FIND("-",B34)+1)+1,9),"")="2")</formula>
    </cfRule>
    <cfRule type="expression" dxfId="4" priority="18">
      <formula>AND(B34&lt;&gt;"",IFERROR(MID(B34,FIND("-",B34,FIND("-",B34)+1)+1,9),"")="3")</formula>
    </cfRule>
    <cfRule type="expression" dxfId="3" priority="19">
      <formula>AND(B34&lt;&gt;"",IFERROR(MID(B34,FIND("-",B34,FIND("-",B34)+1)+1,9),"")="4")</formula>
    </cfRule>
    <cfRule type="expression" dxfId="2" priority="20">
      <formula>AND(B34&lt;&gt;"",IFERROR(MID(B34,FIND("-",B34,FIND("-",B34)+1)+1,9),"")="2P")</formula>
    </cfRule>
    <cfRule type="expression" dxfId="1" priority="21">
      <formula>AND(B34&lt;&gt;"",IFERROR(MID(B34,FIND("-",B34,FIND("-",B34)+1)+1,9),"")="MSR")</formula>
    </cfRule>
    <cfRule type="expression" dxfId="0" priority="22">
      <formula>ROW()-33&gt;$C$5</formula>
    </cfRule>
  </conditionalFormatting>
  <conditionalFormatting sqref="H10:H29">
    <cfRule type="cellIs" dxfId="34" priority="27" operator="lessThan">
      <formula>0</formula>
    </cfRule>
  </conditionalFormatting>
  <conditionalFormatting sqref="L34:L47">
    <cfRule type="expression" dxfId="33" priority="23">
      <formula>LEFT(L34,2)="OK"</formula>
    </cfRule>
    <cfRule type="expression" dxfId="32" priority="24">
      <formula>LEFT(L34,4)="OVER"</formula>
    </cfRule>
    <cfRule type="expression" dxfId="31" priority="25">
      <formula>LEFT(L34,5)="SHORT"</formula>
    </cfRule>
    <cfRule type="expression" dxfId="30" priority="26">
      <formula>L34="— unused —"</formula>
    </cfRule>
  </conditionalFormatting>
  <conditionalFormatting sqref="A10:A29">
    <cfRule type="cellIs" dxfId="29" priority="28" stopIfTrue="1" operator="equal">
      <formula>"7-row"</formula>
    </cfRule>
    <cfRule type="cellIs" dxfId="28" priority="29" stopIfTrue="1" operator="equal">
      <formula>"5-row"</formula>
    </cfRule>
  </conditionalFormatting>
  <dataValidations count="7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  <dataValidation type="list" allowBlank="1" showInputMessage="1" showErrorMessage="1" sqref="J7" xr:uid="{4670E4AD-F407-4B94-92CF-A6083E4B7C1D}">
      <formula1>"Color (pastel),Vivid,Material,Tableau,Earth / lumberyard,Jewel tones,Rainbow (warm to cool),Viridis (colour-safe),Sunset (warm),Neon,High contrast,B &amp; W (print)"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2" t="s">
        <v>76</v>
      </c>
      <c r="B1" s="92"/>
      <c r="C1" s="92"/>
      <c r="D1" s="92"/>
      <c r="E1" s="92"/>
      <c r="F1" s="92"/>
    </row>
    <row r="2" spans="1:14" x14ac:dyDescent="0.3">
      <c r="A2" s="93" t="s">
        <v>77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79" t="s">
        <v>491</v>
      </c>
      <c r="N2" s="87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46194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0" t="s">
        <v>59</v>
      </c>
      <c r="C10" s="81" t="s">
        <v>60</v>
      </c>
      <c r="D10" s="82" t="s">
        <v>61</v>
      </c>
      <c r="E10" s="83" t="s">
        <v>62</v>
      </c>
      <c r="F10" s="84" t="s">
        <v>63</v>
      </c>
      <c r="G10" s="85" t="s">
        <v>64</v>
      </c>
      <c r="H10" s="86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1" t="s">
        <v>490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1" t="s">
        <v>88</v>
      </c>
      <c r="B46" s="91"/>
      <c r="C46" s="91"/>
      <c r="D46" s="91"/>
      <c r="E46" s="91"/>
      <c r="F46" s="91"/>
      <c r="G46" s="91"/>
      <c r="H46" s="91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1" t="s">
        <v>84</v>
      </c>
      <c r="B55" s="91"/>
      <c r="C55" s="91"/>
      <c r="E55" s="91" t="s">
        <v>85</v>
      </c>
      <c r="F55" s="91"/>
      <c r="G55" s="91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09" t="s">
        <v>90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N1" s="90">
        <v>0</v>
      </c>
    </row>
    <row r="2" spans="1:14" x14ac:dyDescent="0.3">
      <c r="A2" s="93" t="s">
        <v>91</v>
      </c>
      <c r="B2" s="93"/>
      <c r="C2" s="93"/>
      <c r="D2" s="93"/>
      <c r="E2" s="93"/>
      <c r="F2" s="93"/>
      <c r="G2" s="93"/>
      <c r="H2" s="93"/>
      <c r="I2" s="93"/>
      <c r="J2" s="93"/>
      <c r="K2" s="93"/>
      <c r="N2" s="90"/>
    </row>
    <row r="3" spans="1:14" x14ac:dyDescent="0.3">
      <c r="N3" s="90"/>
    </row>
    <row r="4" spans="1:14" x14ac:dyDescent="0.3">
      <c r="A4" s="5" t="s">
        <v>5</v>
      </c>
      <c r="B4" s="5" t="s">
        <v>92</v>
      </c>
      <c r="C4" s="80" t="s">
        <v>59</v>
      </c>
      <c r="D4" s="81" t="s">
        <v>60</v>
      </c>
      <c r="E4" s="82" t="s">
        <v>61</v>
      </c>
      <c r="F4" s="83" t="s">
        <v>62</v>
      </c>
      <c r="G4" s="84" t="s">
        <v>63</v>
      </c>
      <c r="H4" s="85" t="s">
        <v>64</v>
      </c>
      <c r="I4" s="86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159">
        <v>1</v>
      </c>
      <c r="F5" s="8"/>
      <c r="G5" s="8"/>
      <c r="H5" s="8"/>
      <c r="I5" s="160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161">
        <v>1</v>
      </c>
      <c r="G6" s="8"/>
      <c r="H6" s="162">
        <v>1</v>
      </c>
      <c r="I6" s="160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163">
        <v>2</v>
      </c>
      <c r="H7" s="8"/>
      <c r="I7" s="160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163">
        <v>1</v>
      </c>
      <c r="H8" s="162">
        <v>2</v>
      </c>
      <c r="I8" s="160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162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164">
        <v>2</v>
      </c>
      <c r="D10" s="8"/>
      <c r="E10" s="8"/>
      <c r="F10" s="8"/>
      <c r="G10" s="163">
        <v>1</v>
      </c>
      <c r="H10" s="8"/>
      <c r="I10" s="160">
        <v>2</v>
      </c>
      <c r="J10" s="1">
        <v>72</v>
      </c>
    </row>
    <row r="11" spans="1:14" x14ac:dyDescent="0.3">
      <c r="A11" s="8">
        <v>7</v>
      </c>
      <c r="B11" s="34" t="s">
        <v>99</v>
      </c>
      <c r="C11" s="164">
        <v>1</v>
      </c>
      <c r="D11" s="165">
        <v>1</v>
      </c>
      <c r="E11" s="8"/>
      <c r="F11" s="161">
        <v>1</v>
      </c>
      <c r="G11" s="8"/>
      <c r="H11" s="8"/>
      <c r="I11" s="160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164">
        <v>1</v>
      </c>
      <c r="D12" s="8"/>
      <c r="E12" s="159">
        <v>2</v>
      </c>
      <c r="F12" s="8"/>
      <c r="G12" s="8"/>
      <c r="H12" s="8"/>
      <c r="I12" s="160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165">
        <v>2</v>
      </c>
      <c r="E13" s="159">
        <v>1</v>
      </c>
      <c r="F13" s="8"/>
      <c r="G13" s="8"/>
      <c r="H13" s="8"/>
      <c r="I13" s="160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164">
        <v>2</v>
      </c>
      <c r="D14" s="8"/>
      <c r="E14" s="8"/>
      <c r="F14" s="8"/>
      <c r="G14" s="8"/>
      <c r="H14" s="162">
        <v>2</v>
      </c>
      <c r="I14" s="160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164">
        <v>1</v>
      </c>
      <c r="D15" s="165">
        <v>1</v>
      </c>
      <c r="E15" s="8"/>
      <c r="F15" s="8"/>
      <c r="G15" s="163">
        <v>1</v>
      </c>
      <c r="H15" s="162">
        <v>1</v>
      </c>
      <c r="I15" s="160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164">
        <v>1</v>
      </c>
      <c r="D16" s="8"/>
      <c r="E16" s="159">
        <v>1</v>
      </c>
      <c r="F16" s="161">
        <v>1</v>
      </c>
      <c r="G16" s="8"/>
      <c r="H16" s="162">
        <v>1</v>
      </c>
      <c r="I16" s="160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165">
        <v>2</v>
      </c>
      <c r="E17" s="8"/>
      <c r="F17" s="161">
        <v>1</v>
      </c>
      <c r="G17" s="8"/>
      <c r="H17" s="162">
        <v>1</v>
      </c>
      <c r="I17" s="160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165">
        <v>1</v>
      </c>
      <c r="E18" s="159">
        <v>2</v>
      </c>
      <c r="F18" s="8"/>
      <c r="G18" s="8"/>
      <c r="H18" s="162">
        <v>1</v>
      </c>
      <c r="I18" s="160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164">
        <v>1</v>
      </c>
      <c r="D19" s="8"/>
      <c r="E19" s="159">
        <v>1</v>
      </c>
      <c r="F19" s="8"/>
      <c r="G19" s="163">
        <v>2</v>
      </c>
      <c r="H19" s="8"/>
      <c r="I19" s="160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165">
        <v>2</v>
      </c>
      <c r="E20" s="8"/>
      <c r="F20" s="8"/>
      <c r="G20" s="163">
        <v>2</v>
      </c>
      <c r="H20" s="8"/>
      <c r="I20" s="160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164">
        <v>1</v>
      </c>
      <c r="D21" s="8"/>
      <c r="E21" s="8"/>
      <c r="F21" s="161">
        <v>2</v>
      </c>
      <c r="G21" s="163">
        <v>1</v>
      </c>
      <c r="H21" s="8"/>
      <c r="I21" s="160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165">
        <v>1</v>
      </c>
      <c r="E22" s="159">
        <v>1</v>
      </c>
      <c r="F22" s="161">
        <v>1</v>
      </c>
      <c r="G22" s="163">
        <v>1</v>
      </c>
      <c r="H22" s="8"/>
      <c r="I22" s="160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159">
        <v>3</v>
      </c>
      <c r="F23" s="8"/>
      <c r="G23" s="163">
        <v>1</v>
      </c>
      <c r="H23" s="8"/>
      <c r="I23" s="160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165">
        <v>1</v>
      </c>
      <c r="E24" s="8"/>
      <c r="F24" s="161">
        <v>3</v>
      </c>
      <c r="G24" s="8"/>
      <c r="H24" s="8"/>
      <c r="I24" s="160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159">
        <v>2</v>
      </c>
      <c r="F25" s="161">
        <v>2</v>
      </c>
      <c r="G25" s="8"/>
      <c r="H25" s="8"/>
      <c r="I25" s="160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164">
        <v>1</v>
      </c>
      <c r="D26" s="165">
        <v>1</v>
      </c>
      <c r="E26" s="8"/>
      <c r="F26" s="8"/>
      <c r="G26" s="8"/>
      <c r="H26" s="162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164">
        <v>1</v>
      </c>
      <c r="D27" s="8"/>
      <c r="E27" s="159">
        <v>1</v>
      </c>
      <c r="F27" s="8"/>
      <c r="G27" s="163">
        <v>1</v>
      </c>
      <c r="H27" s="162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165">
        <v>2</v>
      </c>
      <c r="E28" s="8"/>
      <c r="F28" s="8"/>
      <c r="G28" s="163">
        <v>1</v>
      </c>
      <c r="H28" s="162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164">
        <v>1</v>
      </c>
      <c r="D29" s="8"/>
      <c r="E29" s="8"/>
      <c r="F29" s="161">
        <v>2</v>
      </c>
      <c r="G29" s="8"/>
      <c r="H29" s="162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165">
        <v>1</v>
      </c>
      <c r="E30" s="159">
        <v>1</v>
      </c>
      <c r="F30" s="161">
        <v>1</v>
      </c>
      <c r="G30" s="8"/>
      <c r="H30" s="162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159">
        <v>3</v>
      </c>
      <c r="F31" s="8"/>
      <c r="G31" s="8"/>
      <c r="H31" s="162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164">
        <v>1</v>
      </c>
      <c r="D32" s="8"/>
      <c r="E32" s="8"/>
      <c r="F32" s="161">
        <v>1</v>
      </c>
      <c r="G32" s="163">
        <v>2</v>
      </c>
      <c r="H32" s="162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165">
        <v>1</v>
      </c>
      <c r="E33" s="159">
        <v>1</v>
      </c>
      <c r="F33" s="8"/>
      <c r="G33" s="163">
        <v>2</v>
      </c>
      <c r="H33" s="162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165">
        <v>1</v>
      </c>
      <c r="E34" s="8"/>
      <c r="F34" s="161">
        <v>2</v>
      </c>
      <c r="G34" s="163">
        <v>1</v>
      </c>
      <c r="H34" s="162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159">
        <v>2</v>
      </c>
      <c r="F35" s="161">
        <v>1</v>
      </c>
      <c r="G35" s="163">
        <v>1</v>
      </c>
      <c r="H35" s="162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159">
        <v>1</v>
      </c>
      <c r="F36" s="161">
        <v>3</v>
      </c>
      <c r="G36" s="8"/>
      <c r="H36" s="162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164">
        <v>1</v>
      </c>
      <c r="D37" s="8"/>
      <c r="E37" s="8"/>
      <c r="F37" s="8"/>
      <c r="G37" s="163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165">
        <v>1</v>
      </c>
      <c r="E38" s="8"/>
      <c r="F38" s="161">
        <v>1</v>
      </c>
      <c r="G38" s="163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159">
        <v>2</v>
      </c>
      <c r="F39" s="8"/>
      <c r="G39" s="163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159">
        <v>1</v>
      </c>
      <c r="F40" s="161">
        <v>2</v>
      </c>
      <c r="G40" s="163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161">
        <v>4</v>
      </c>
      <c r="G41" s="163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164">
        <v>4</v>
      </c>
      <c r="D42" s="8"/>
      <c r="E42" s="8"/>
      <c r="F42" s="8"/>
      <c r="G42" s="8"/>
      <c r="H42" s="8"/>
      <c r="I42" s="160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164">
        <v>3</v>
      </c>
      <c r="D43" s="165">
        <v>1</v>
      </c>
      <c r="E43" s="8"/>
      <c r="F43" s="8"/>
      <c r="G43" s="8"/>
      <c r="H43" s="162">
        <v>1</v>
      </c>
      <c r="I43" s="160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164">
        <v>3</v>
      </c>
      <c r="D44" s="8"/>
      <c r="E44" s="159">
        <v>1</v>
      </c>
      <c r="F44" s="8"/>
      <c r="G44" s="163">
        <v>1</v>
      </c>
      <c r="H44" s="8"/>
      <c r="I44" s="160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164">
        <v>2</v>
      </c>
      <c r="D45" s="165">
        <v>2</v>
      </c>
      <c r="E45" s="8"/>
      <c r="F45" s="8"/>
      <c r="G45" s="163">
        <v>1</v>
      </c>
      <c r="H45" s="8"/>
      <c r="I45" s="160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164">
        <v>3</v>
      </c>
      <c r="D46" s="8"/>
      <c r="E46" s="8"/>
      <c r="F46" s="161">
        <v>2</v>
      </c>
      <c r="G46" s="8"/>
      <c r="H46" s="8"/>
      <c r="I46" s="160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164">
        <v>2</v>
      </c>
      <c r="D47" s="165">
        <v>1</v>
      </c>
      <c r="E47" s="159">
        <v>1</v>
      </c>
      <c r="F47" s="161">
        <v>1</v>
      </c>
      <c r="G47" s="8"/>
      <c r="H47" s="8"/>
      <c r="I47" s="160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164">
        <v>1</v>
      </c>
      <c r="D48" s="165">
        <v>3</v>
      </c>
      <c r="E48" s="8"/>
      <c r="F48" s="161">
        <v>1</v>
      </c>
      <c r="G48" s="8"/>
      <c r="H48" s="8"/>
      <c r="I48" s="160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164">
        <v>2</v>
      </c>
      <c r="D49" s="8"/>
      <c r="E49" s="159">
        <v>3</v>
      </c>
      <c r="F49" s="8"/>
      <c r="G49" s="8"/>
      <c r="H49" s="8"/>
      <c r="I49" s="160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164">
        <v>1</v>
      </c>
      <c r="D50" s="165">
        <v>2</v>
      </c>
      <c r="E50" s="159">
        <v>2</v>
      </c>
      <c r="F50" s="8"/>
      <c r="G50" s="8"/>
      <c r="H50" s="8"/>
      <c r="I50" s="160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165">
        <v>4</v>
      </c>
      <c r="E51" s="159">
        <v>1</v>
      </c>
      <c r="F51" s="8"/>
      <c r="G51" s="8"/>
      <c r="H51" s="8"/>
      <c r="I51" s="160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164">
        <v>3</v>
      </c>
      <c r="D52" s="8"/>
      <c r="E52" s="159">
        <v>1</v>
      </c>
      <c r="F52" s="8"/>
      <c r="G52" s="8"/>
      <c r="H52" s="162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164">
        <v>2</v>
      </c>
      <c r="D53" s="165">
        <v>2</v>
      </c>
      <c r="E53" s="8"/>
      <c r="F53" s="8"/>
      <c r="G53" s="8"/>
      <c r="H53" s="162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164">
        <v>3</v>
      </c>
      <c r="D54" s="8"/>
      <c r="E54" s="8"/>
      <c r="F54" s="161">
        <v>1</v>
      </c>
      <c r="G54" s="163">
        <v>1</v>
      </c>
      <c r="H54" s="162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164">
        <v>2</v>
      </c>
      <c r="D55" s="165">
        <v>1</v>
      </c>
      <c r="E55" s="159">
        <v>1</v>
      </c>
      <c r="F55" s="8"/>
      <c r="G55" s="163">
        <v>1</v>
      </c>
      <c r="H55" s="162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164">
        <v>1</v>
      </c>
      <c r="D56" s="165">
        <v>3</v>
      </c>
      <c r="E56" s="8"/>
      <c r="F56" s="8"/>
      <c r="G56" s="163">
        <v>1</v>
      </c>
      <c r="H56" s="162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164">
        <v>2</v>
      </c>
      <c r="D57" s="165">
        <v>1</v>
      </c>
      <c r="E57" s="8"/>
      <c r="F57" s="161">
        <v>2</v>
      </c>
      <c r="G57" s="8"/>
      <c r="H57" s="162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164">
        <v>2</v>
      </c>
      <c r="D58" s="8"/>
      <c r="E58" s="159">
        <v>2</v>
      </c>
      <c r="F58" s="161">
        <v>1</v>
      </c>
      <c r="G58" s="8"/>
      <c r="H58" s="162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164">
        <v>1</v>
      </c>
      <c r="D59" s="165">
        <v>2</v>
      </c>
      <c r="E59" s="159">
        <v>1</v>
      </c>
      <c r="F59" s="161">
        <v>1</v>
      </c>
      <c r="G59" s="8"/>
      <c r="H59" s="162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165">
        <v>4</v>
      </c>
      <c r="E60" s="8"/>
      <c r="F60" s="161">
        <v>1</v>
      </c>
      <c r="G60" s="8"/>
      <c r="H60" s="162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164">
        <v>1</v>
      </c>
      <c r="D61" s="165">
        <v>1</v>
      </c>
      <c r="E61" s="159">
        <v>3</v>
      </c>
      <c r="F61" s="8"/>
      <c r="G61" s="8"/>
      <c r="H61" s="162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165">
        <v>3</v>
      </c>
      <c r="E62" s="159">
        <v>2</v>
      </c>
      <c r="F62" s="8"/>
      <c r="G62" s="8"/>
      <c r="H62" s="162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164">
        <v>3</v>
      </c>
      <c r="D63" s="8"/>
      <c r="E63" s="8"/>
      <c r="F63" s="8"/>
      <c r="G63" s="163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164">
        <v>2</v>
      </c>
      <c r="D64" s="165">
        <v>1</v>
      </c>
      <c r="E64" s="8"/>
      <c r="F64" s="161">
        <v>1</v>
      </c>
      <c r="G64" s="163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164">
        <v>2</v>
      </c>
      <c r="D65" s="8"/>
      <c r="E65" s="159">
        <v>2</v>
      </c>
      <c r="F65" s="8"/>
      <c r="G65" s="163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164">
        <v>1</v>
      </c>
      <c r="D66" s="165">
        <v>2</v>
      </c>
      <c r="E66" s="159">
        <v>1</v>
      </c>
      <c r="F66" s="8"/>
      <c r="G66" s="163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165">
        <v>4</v>
      </c>
      <c r="E67" s="8"/>
      <c r="F67" s="8"/>
      <c r="G67" s="163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164">
        <v>2</v>
      </c>
      <c r="D68" s="8"/>
      <c r="E68" s="159">
        <v>1</v>
      </c>
      <c r="F68" s="161">
        <v>2</v>
      </c>
      <c r="G68" s="163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164">
        <v>1</v>
      </c>
      <c r="D69" s="165">
        <v>2</v>
      </c>
      <c r="E69" s="8"/>
      <c r="F69" s="161">
        <v>2</v>
      </c>
      <c r="G69" s="163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164">
        <v>1</v>
      </c>
      <c r="D70" s="165">
        <v>1</v>
      </c>
      <c r="E70" s="159">
        <v>2</v>
      </c>
      <c r="F70" s="161">
        <v>1</v>
      </c>
      <c r="G70" s="163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165">
        <v>3</v>
      </c>
      <c r="E71" s="159">
        <v>1</v>
      </c>
      <c r="F71" s="161">
        <v>1</v>
      </c>
      <c r="G71" s="163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164">
        <v>1</v>
      </c>
      <c r="D72" s="8"/>
      <c r="E72" s="159">
        <v>4</v>
      </c>
      <c r="F72" s="8"/>
      <c r="G72" s="163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165">
        <v>2</v>
      </c>
      <c r="E73" s="159">
        <v>3</v>
      </c>
      <c r="F73" s="8"/>
      <c r="G73" s="163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164">
        <v>2</v>
      </c>
      <c r="D74" s="8"/>
      <c r="E74" s="8"/>
      <c r="F74" s="161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164">
        <v>1</v>
      </c>
      <c r="D75" s="165">
        <v>1</v>
      </c>
      <c r="E75" s="159">
        <v>1</v>
      </c>
      <c r="F75" s="161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165">
        <v>3</v>
      </c>
      <c r="E76" s="8"/>
      <c r="F76" s="161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164">
        <v>1</v>
      </c>
      <c r="D77" s="8"/>
      <c r="E77" s="159">
        <v>3</v>
      </c>
      <c r="F77" s="161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165">
        <v>2</v>
      </c>
      <c r="E78" s="159">
        <v>2</v>
      </c>
      <c r="F78" s="161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165">
        <v>1</v>
      </c>
      <c r="E79" s="159">
        <v>4</v>
      </c>
      <c r="F79" s="161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159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164">
        <v>5</v>
      </c>
      <c r="D81" s="8"/>
      <c r="E81" s="159">
        <v>1</v>
      </c>
      <c r="F81" s="8"/>
      <c r="G81" s="8"/>
      <c r="H81" s="8"/>
      <c r="I81" s="160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164">
        <v>4</v>
      </c>
      <c r="D82" s="165">
        <v>2</v>
      </c>
      <c r="E82" s="8"/>
      <c r="F82" s="8"/>
      <c r="G82" s="8"/>
      <c r="H82" s="8"/>
      <c r="I82" s="160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164">
        <v>5</v>
      </c>
      <c r="D83" s="8"/>
      <c r="E83" s="8"/>
      <c r="F83" s="161">
        <v>1</v>
      </c>
      <c r="G83" s="8"/>
      <c r="H83" s="162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164">
        <v>4</v>
      </c>
      <c r="D84" s="165">
        <v>1</v>
      </c>
      <c r="E84" s="159">
        <v>1</v>
      </c>
      <c r="F84" s="8"/>
      <c r="G84" s="8"/>
      <c r="H84" s="162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164">
        <v>3</v>
      </c>
      <c r="D85" s="165">
        <v>3</v>
      </c>
      <c r="E85" s="8"/>
      <c r="F85" s="8"/>
      <c r="G85" s="8"/>
      <c r="H85" s="162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164">
        <v>5</v>
      </c>
      <c r="D86" s="8"/>
      <c r="E86" s="8"/>
      <c r="F86" s="8"/>
      <c r="G86" s="163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164">
        <v>4</v>
      </c>
      <c r="D87" s="165">
        <v>1</v>
      </c>
      <c r="E87" s="8"/>
      <c r="F87" s="161">
        <v>1</v>
      </c>
      <c r="G87" s="163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164">
        <v>4</v>
      </c>
      <c r="D88" s="8"/>
      <c r="E88" s="159">
        <v>2</v>
      </c>
      <c r="F88" s="8"/>
      <c r="G88" s="163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164">
        <v>3</v>
      </c>
      <c r="D89" s="165">
        <v>2</v>
      </c>
      <c r="E89" s="159">
        <v>1</v>
      </c>
      <c r="F89" s="8"/>
      <c r="G89" s="163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164">
        <v>2</v>
      </c>
      <c r="D90" s="165">
        <v>4</v>
      </c>
      <c r="E90" s="8"/>
      <c r="F90" s="8"/>
      <c r="G90" s="163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164">
        <v>4</v>
      </c>
      <c r="D91" s="8"/>
      <c r="E91" s="159">
        <v>1</v>
      </c>
      <c r="F91" s="161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164">
        <v>3</v>
      </c>
      <c r="D92" s="165">
        <v>2</v>
      </c>
      <c r="E92" s="8"/>
      <c r="F92" s="161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164">
        <v>3</v>
      </c>
      <c r="D93" s="165">
        <v>1</v>
      </c>
      <c r="E93" s="159">
        <v>2</v>
      </c>
      <c r="F93" s="161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164">
        <v>2</v>
      </c>
      <c r="D94" s="165">
        <v>3</v>
      </c>
      <c r="E94" s="159">
        <v>1</v>
      </c>
      <c r="F94" s="161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164">
        <v>1</v>
      </c>
      <c r="D95" s="165">
        <v>5</v>
      </c>
      <c r="E95" s="8"/>
      <c r="F95" s="161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164">
        <v>3</v>
      </c>
      <c r="D96" s="8"/>
      <c r="E96" s="159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164">
        <v>2</v>
      </c>
      <c r="D97" s="165">
        <v>2</v>
      </c>
      <c r="E97" s="159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164">
        <v>1</v>
      </c>
      <c r="D98" s="165">
        <v>4</v>
      </c>
      <c r="E98" s="159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165">
        <v>6</v>
      </c>
      <c r="E99" s="159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164">
        <v>7</v>
      </c>
      <c r="D100" s="8"/>
      <c r="E100" s="8"/>
      <c r="F100" s="8"/>
      <c r="G100" s="163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164">
        <v>6</v>
      </c>
      <c r="D101" s="165">
        <v>1</v>
      </c>
      <c r="E101" s="8"/>
      <c r="F101" s="161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164">
        <v>6</v>
      </c>
      <c r="D102" s="8"/>
      <c r="E102" s="159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164">
        <v>5</v>
      </c>
      <c r="D103" s="165">
        <v>2</v>
      </c>
      <c r="E103" s="159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164">
        <v>4</v>
      </c>
      <c r="D104" s="165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164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80" t="s">
        <v>59</v>
      </c>
      <c r="D107" s="81" t="s">
        <v>60</v>
      </c>
      <c r="E107" s="82" t="s">
        <v>61</v>
      </c>
      <c r="F107" s="83" t="s">
        <v>62</v>
      </c>
      <c r="G107" s="84" t="s">
        <v>63</v>
      </c>
      <c r="H107" s="85" t="s">
        <v>64</v>
      </c>
      <c r="I107" s="86" t="s">
        <v>65</v>
      </c>
    </row>
  </sheetData>
  <mergeCells count="2">
    <mergeCell ref="A1:K1"/>
    <mergeCell ref="A2:K2"/>
  </mergeCells>
  <conditionalFormatting sqref="A5:J107">
    <cfRule type="expression" dxfId="27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9" t="s">
        <v>195</v>
      </c>
      <c r="B1" s="109"/>
      <c r="C1" s="109"/>
      <c r="D1" s="109"/>
      <c r="E1" s="109"/>
      <c r="F1" s="109"/>
      <c r="G1" s="109"/>
      <c r="H1" s="109"/>
    </row>
    <row r="3" spans="1:8" x14ac:dyDescent="0.3">
      <c r="A3" s="110"/>
      <c r="B3" s="110"/>
      <c r="C3" s="110"/>
      <c r="D3" s="110"/>
      <c r="E3" s="110"/>
      <c r="F3" s="110"/>
      <c r="G3" s="110"/>
      <c r="H3" s="110"/>
    </row>
    <row r="4" spans="1:8" x14ac:dyDescent="0.3">
      <c r="A4" s="110" t="s">
        <v>196</v>
      </c>
      <c r="B4" s="110"/>
      <c r="C4" s="110"/>
      <c r="D4" s="110"/>
      <c r="E4" s="110"/>
      <c r="F4" s="110"/>
      <c r="G4" s="110"/>
      <c r="H4" s="110"/>
    </row>
    <row r="5" spans="1:8" x14ac:dyDescent="0.3">
      <c r="A5" s="110" t="s">
        <v>197</v>
      </c>
      <c r="B5" s="110"/>
      <c r="C5" s="110"/>
      <c r="D5" s="110"/>
      <c r="E5" s="110"/>
      <c r="F5" s="110"/>
      <c r="G5" s="110"/>
      <c r="H5" s="110"/>
    </row>
    <row r="6" spans="1:8" x14ac:dyDescent="0.3">
      <c r="A6" s="110" t="s">
        <v>198</v>
      </c>
      <c r="B6" s="110"/>
      <c r="C6" s="110"/>
      <c r="D6" s="110"/>
      <c r="E6" s="110"/>
      <c r="F6" s="110"/>
      <c r="G6" s="110"/>
      <c r="H6" s="110"/>
    </row>
    <row r="7" spans="1:8" x14ac:dyDescent="0.3">
      <c r="A7" s="110" t="s">
        <v>199</v>
      </c>
      <c r="B7" s="110"/>
      <c r="C7" s="110"/>
      <c r="D7" s="110"/>
      <c r="E7" s="110"/>
      <c r="F7" s="110"/>
      <c r="G7" s="110"/>
      <c r="H7" s="110"/>
    </row>
    <row r="8" spans="1:8" x14ac:dyDescent="0.3">
      <c r="A8" s="110" t="s">
        <v>200</v>
      </c>
      <c r="B8" s="110"/>
      <c r="C8" s="110"/>
      <c r="D8" s="110"/>
      <c r="E8" s="110"/>
      <c r="F8" s="110"/>
      <c r="G8" s="110"/>
      <c r="H8" s="110"/>
    </row>
    <row r="9" spans="1:8" x14ac:dyDescent="0.3">
      <c r="A9" s="110" t="s">
        <v>201</v>
      </c>
      <c r="B9" s="110"/>
      <c r="C9" s="110"/>
      <c r="D9" s="110"/>
      <c r="E9" s="110"/>
      <c r="F9" s="110"/>
      <c r="G9" s="110"/>
      <c r="H9" s="110"/>
    </row>
    <row r="10" spans="1:8" x14ac:dyDescent="0.3">
      <c r="A10" s="110"/>
      <c r="B10" s="110"/>
      <c r="C10" s="110"/>
      <c r="D10" s="110"/>
      <c r="E10" s="110"/>
      <c r="F10" s="110"/>
      <c r="G10" s="110"/>
      <c r="H10" s="110"/>
    </row>
    <row r="11" spans="1:8" x14ac:dyDescent="0.3">
      <c r="A11" s="110" t="s">
        <v>202</v>
      </c>
      <c r="B11" s="110"/>
      <c r="C11" s="110"/>
      <c r="D11" s="110"/>
      <c r="E11" s="110"/>
      <c r="F11" s="110"/>
      <c r="G11" s="110"/>
      <c r="H11" s="110"/>
    </row>
    <row r="12" spans="1:8" x14ac:dyDescent="0.3">
      <c r="A12" s="110"/>
      <c r="B12" s="110"/>
      <c r="C12" s="110"/>
      <c r="D12" s="110"/>
      <c r="E12" s="110"/>
      <c r="F12" s="110"/>
      <c r="G12" s="110"/>
      <c r="H12" s="110"/>
    </row>
    <row r="13" spans="1:8" x14ac:dyDescent="0.3">
      <c r="A13" s="105" t="s">
        <v>203</v>
      </c>
      <c r="B13" s="105"/>
      <c r="C13" s="105"/>
      <c r="D13" s="105"/>
      <c r="E13" s="105"/>
      <c r="F13" s="105"/>
      <c r="G13" s="105"/>
      <c r="H13" s="105"/>
    </row>
    <row r="15" spans="1:8" x14ac:dyDescent="0.3">
      <c r="A15" s="111" t="s">
        <v>204</v>
      </c>
      <c r="B15" s="111"/>
      <c r="C15" s="111"/>
      <c r="D15" s="111"/>
      <c r="E15" s="111"/>
      <c r="F15" s="111"/>
      <c r="G15" s="111"/>
      <c r="H15" s="111"/>
    </row>
    <row r="16" spans="1:8" x14ac:dyDescent="0.3">
      <c r="A16" s="111" t="s">
        <v>205</v>
      </c>
      <c r="B16" s="111"/>
      <c r="C16" s="111"/>
      <c r="D16" s="111"/>
      <c r="E16" s="111"/>
      <c r="F16" s="111"/>
      <c r="G16" s="111"/>
      <c r="H16" s="111"/>
    </row>
    <row r="17" spans="1:8" x14ac:dyDescent="0.3">
      <c r="A17" s="111" t="s">
        <v>206</v>
      </c>
      <c r="B17" s="111"/>
      <c r="C17" s="111"/>
      <c r="D17" s="111"/>
      <c r="E17" s="111"/>
      <c r="F17" s="111"/>
      <c r="G17" s="111"/>
      <c r="H17" s="111"/>
    </row>
    <row r="18" spans="1:8" x14ac:dyDescent="0.3">
      <c r="A18" s="111" t="s">
        <v>207</v>
      </c>
      <c r="B18" s="111"/>
      <c r="C18" s="111"/>
      <c r="D18" s="111"/>
      <c r="E18" s="111"/>
      <c r="F18" s="111"/>
      <c r="G18" s="111"/>
      <c r="H18" s="111"/>
    </row>
    <row r="19" spans="1:8" x14ac:dyDescent="0.3">
      <c r="A19" s="111" t="s">
        <v>208</v>
      </c>
      <c r="B19" s="111"/>
      <c r="C19" s="111"/>
      <c r="D19" s="111"/>
      <c r="E19" s="111"/>
      <c r="F19" s="111"/>
      <c r="G19" s="111"/>
      <c r="H19" s="111"/>
    </row>
    <row r="20" spans="1:8" x14ac:dyDescent="0.3">
      <c r="A20" s="111" t="s">
        <v>209</v>
      </c>
      <c r="B20" s="111"/>
      <c r="C20" s="111"/>
      <c r="D20" s="111"/>
      <c r="E20" s="111"/>
      <c r="F20" s="111"/>
      <c r="G20" s="111"/>
      <c r="H20" s="111"/>
    </row>
    <row r="21" spans="1:8" x14ac:dyDescent="0.3">
      <c r="A21" s="111" t="s">
        <v>210</v>
      </c>
      <c r="B21" s="111"/>
      <c r="C21" s="111"/>
      <c r="D21" s="111"/>
      <c r="E21" s="111"/>
      <c r="F21" s="111"/>
      <c r="G21" s="111"/>
      <c r="H21" s="111"/>
    </row>
    <row r="22" spans="1:8" x14ac:dyDescent="0.3">
      <c r="A22" s="111" t="s">
        <v>211</v>
      </c>
      <c r="B22" s="111"/>
      <c r="C22" s="111"/>
      <c r="D22" s="111"/>
      <c r="E22" s="111"/>
      <c r="F22" s="111"/>
      <c r="G22" s="111"/>
      <c r="H22" s="111"/>
    </row>
    <row r="23" spans="1:8" x14ac:dyDescent="0.3">
      <c r="A23" s="111" t="s">
        <v>212</v>
      </c>
      <c r="B23" s="111"/>
      <c r="C23" s="111"/>
      <c r="D23" s="111"/>
      <c r="E23" s="111"/>
      <c r="F23" s="111"/>
      <c r="G23" s="111"/>
      <c r="H23" s="111"/>
    </row>
    <row r="24" spans="1:8" x14ac:dyDescent="0.3">
      <c r="A24" s="111" t="s">
        <v>213</v>
      </c>
      <c r="B24" s="111"/>
      <c r="C24" s="111"/>
      <c r="D24" s="111"/>
      <c r="E24" s="111"/>
      <c r="F24" s="111"/>
      <c r="G24" s="111"/>
      <c r="H24" s="111"/>
    </row>
    <row r="25" spans="1:8" x14ac:dyDescent="0.3">
      <c r="A25" s="111" t="s">
        <v>214</v>
      </c>
      <c r="B25" s="111"/>
      <c r="C25" s="111"/>
      <c r="D25" s="111"/>
      <c r="E25" s="111"/>
      <c r="F25" s="111"/>
      <c r="G25" s="111"/>
      <c r="H25" s="111"/>
    </row>
    <row r="26" spans="1:8" x14ac:dyDescent="0.3">
      <c r="A26" s="111" t="s">
        <v>215</v>
      </c>
      <c r="B26" s="111"/>
      <c r="C26" s="111"/>
      <c r="D26" s="111"/>
      <c r="E26" s="111"/>
      <c r="F26" s="111"/>
      <c r="G26" s="111"/>
      <c r="H26" s="111"/>
    </row>
    <row r="27" spans="1:8" x14ac:dyDescent="0.3">
      <c r="A27" s="111" t="s">
        <v>216</v>
      </c>
      <c r="B27" s="111"/>
      <c r="C27" s="111"/>
      <c r="D27" s="111"/>
      <c r="E27" s="111"/>
      <c r="F27" s="111"/>
      <c r="G27" s="111"/>
      <c r="H27" s="111"/>
    </row>
    <row r="28" spans="1:8" x14ac:dyDescent="0.3">
      <c r="A28" s="111" t="s">
        <v>217</v>
      </c>
      <c r="B28" s="111"/>
      <c r="C28" s="111"/>
      <c r="D28" s="111"/>
      <c r="E28" s="111"/>
      <c r="F28" s="111"/>
      <c r="G28" s="111"/>
      <c r="H28" s="111"/>
    </row>
    <row r="29" spans="1:8" x14ac:dyDescent="0.3">
      <c r="A29" s="111" t="s">
        <v>218</v>
      </c>
      <c r="B29" s="111"/>
      <c r="C29" s="111"/>
      <c r="D29" s="111"/>
      <c r="E29" s="111"/>
      <c r="F29" s="111"/>
      <c r="G29" s="111"/>
      <c r="H29" s="111"/>
    </row>
    <row r="30" spans="1:8" x14ac:dyDescent="0.3">
      <c r="A30" s="111" t="s">
        <v>219</v>
      </c>
      <c r="B30" s="111"/>
      <c r="C30" s="111"/>
      <c r="D30" s="111"/>
      <c r="E30" s="111"/>
      <c r="F30" s="111"/>
      <c r="G30" s="111"/>
      <c r="H30" s="111"/>
    </row>
    <row r="31" spans="1:8" x14ac:dyDescent="0.3">
      <c r="A31" s="111" t="s">
        <v>220</v>
      </c>
      <c r="B31" s="111"/>
      <c r="C31" s="111"/>
      <c r="D31" s="111"/>
      <c r="E31" s="111"/>
      <c r="F31" s="111"/>
      <c r="G31" s="111"/>
      <c r="H31" s="111"/>
    </row>
    <row r="32" spans="1:8" x14ac:dyDescent="0.3">
      <c r="A32" s="111" t="s">
        <v>221</v>
      </c>
      <c r="B32" s="111"/>
      <c r="C32" s="111"/>
      <c r="D32" s="111"/>
      <c r="E32" s="111"/>
      <c r="F32" s="111"/>
      <c r="G32" s="111"/>
      <c r="H32" s="111"/>
    </row>
    <row r="33" spans="1:8" x14ac:dyDescent="0.3">
      <c r="A33" s="111" t="s">
        <v>222</v>
      </c>
      <c r="B33" s="111"/>
      <c r="C33" s="111"/>
      <c r="D33" s="111"/>
      <c r="E33" s="111"/>
      <c r="F33" s="111"/>
      <c r="G33" s="111"/>
      <c r="H33" s="111"/>
    </row>
    <row r="34" spans="1:8" x14ac:dyDescent="0.3">
      <c r="A34" s="111" t="s">
        <v>223</v>
      </c>
      <c r="B34" s="111"/>
      <c r="C34" s="111"/>
      <c r="D34" s="111"/>
      <c r="E34" s="111"/>
      <c r="F34" s="111"/>
      <c r="G34" s="111"/>
      <c r="H34" s="111"/>
    </row>
    <row r="35" spans="1:8" x14ac:dyDescent="0.3">
      <c r="A35" s="111" t="s">
        <v>212</v>
      </c>
      <c r="B35" s="111"/>
      <c r="C35" s="111"/>
      <c r="D35" s="111"/>
      <c r="E35" s="111"/>
      <c r="F35" s="111"/>
      <c r="G35" s="111"/>
      <c r="H35" s="111"/>
    </row>
    <row r="36" spans="1:8" x14ac:dyDescent="0.3">
      <c r="A36" s="111" t="s">
        <v>224</v>
      </c>
      <c r="B36" s="111"/>
      <c r="C36" s="111"/>
      <c r="D36" s="111"/>
      <c r="E36" s="111"/>
      <c r="F36" s="111"/>
      <c r="G36" s="111"/>
      <c r="H36" s="111"/>
    </row>
    <row r="37" spans="1:8" x14ac:dyDescent="0.3">
      <c r="A37" s="111" t="s">
        <v>225</v>
      </c>
      <c r="B37" s="111"/>
      <c r="C37" s="111"/>
      <c r="D37" s="111"/>
      <c r="E37" s="111"/>
      <c r="F37" s="111"/>
      <c r="G37" s="111"/>
      <c r="H37" s="111"/>
    </row>
    <row r="38" spans="1:8" x14ac:dyDescent="0.3">
      <c r="A38" s="111" t="s">
        <v>226</v>
      </c>
      <c r="B38" s="111"/>
      <c r="C38" s="111"/>
      <c r="D38" s="111"/>
      <c r="E38" s="111"/>
      <c r="F38" s="111"/>
      <c r="G38" s="111"/>
      <c r="H38" s="111"/>
    </row>
    <row r="39" spans="1:8" x14ac:dyDescent="0.3">
      <c r="A39" s="111" t="s">
        <v>227</v>
      </c>
      <c r="B39" s="111"/>
      <c r="C39" s="111"/>
      <c r="D39" s="111"/>
      <c r="E39" s="111"/>
      <c r="F39" s="111"/>
      <c r="G39" s="111"/>
      <c r="H39" s="111"/>
    </row>
    <row r="40" spans="1:8" x14ac:dyDescent="0.3">
      <c r="A40" s="111" t="s">
        <v>228</v>
      </c>
      <c r="B40" s="111"/>
      <c r="C40" s="111"/>
      <c r="D40" s="111"/>
      <c r="E40" s="111"/>
      <c r="F40" s="111"/>
      <c r="G40" s="111"/>
      <c r="H40" s="111"/>
    </row>
    <row r="41" spans="1:8" x14ac:dyDescent="0.3">
      <c r="A41" s="111" t="s">
        <v>229</v>
      </c>
      <c r="B41" s="111"/>
      <c r="C41" s="111"/>
      <c r="D41" s="111"/>
      <c r="E41" s="111"/>
      <c r="F41" s="111"/>
      <c r="G41" s="111"/>
      <c r="H41" s="111"/>
    </row>
    <row r="42" spans="1:8" x14ac:dyDescent="0.3">
      <c r="A42" s="111" t="s">
        <v>230</v>
      </c>
      <c r="B42" s="111"/>
      <c r="C42" s="111"/>
      <c r="D42" s="111"/>
      <c r="E42" s="111"/>
      <c r="F42" s="111"/>
      <c r="G42" s="111"/>
      <c r="H42" s="111"/>
    </row>
    <row r="43" spans="1:8" x14ac:dyDescent="0.3">
      <c r="A43" s="111" t="s">
        <v>231</v>
      </c>
      <c r="B43" s="111"/>
      <c r="C43" s="111"/>
      <c r="D43" s="111"/>
      <c r="E43" s="111"/>
      <c r="F43" s="111"/>
      <c r="G43" s="111"/>
      <c r="H43" s="111"/>
    </row>
    <row r="44" spans="1:8" x14ac:dyDescent="0.3">
      <c r="A44" s="111" t="s">
        <v>232</v>
      </c>
      <c r="B44" s="111"/>
      <c r="C44" s="111"/>
      <c r="D44" s="111"/>
      <c r="E44" s="111"/>
      <c r="F44" s="111"/>
      <c r="G44" s="111"/>
      <c r="H44" s="111"/>
    </row>
    <row r="45" spans="1:8" x14ac:dyDescent="0.3">
      <c r="A45" s="111" t="s">
        <v>233</v>
      </c>
      <c r="B45" s="111"/>
      <c r="C45" s="111"/>
      <c r="D45" s="111"/>
      <c r="E45" s="111"/>
      <c r="F45" s="111"/>
      <c r="G45" s="111"/>
      <c r="H45" s="111"/>
    </row>
    <row r="46" spans="1:8" x14ac:dyDescent="0.3">
      <c r="A46" s="111" t="s">
        <v>234</v>
      </c>
      <c r="B46" s="111"/>
      <c r="C46" s="111"/>
      <c r="D46" s="111"/>
      <c r="E46" s="111"/>
      <c r="F46" s="111"/>
      <c r="G46" s="111"/>
      <c r="H46" s="111"/>
    </row>
    <row r="47" spans="1:8" x14ac:dyDescent="0.3">
      <c r="A47" s="111" t="s">
        <v>235</v>
      </c>
      <c r="B47" s="111"/>
      <c r="C47" s="111"/>
      <c r="D47" s="111"/>
      <c r="E47" s="111"/>
      <c r="F47" s="111"/>
      <c r="G47" s="111"/>
      <c r="H47" s="111"/>
    </row>
    <row r="48" spans="1:8" x14ac:dyDescent="0.3">
      <c r="A48" s="111" t="s">
        <v>236</v>
      </c>
      <c r="B48" s="111"/>
      <c r="C48" s="111"/>
      <c r="D48" s="111"/>
      <c r="E48" s="111"/>
      <c r="F48" s="111"/>
      <c r="G48" s="111"/>
      <c r="H48" s="111"/>
    </row>
    <row r="49" spans="1:8" x14ac:dyDescent="0.3">
      <c r="A49" s="111" t="s">
        <v>237</v>
      </c>
      <c r="B49" s="111"/>
      <c r="C49" s="111"/>
      <c r="D49" s="111"/>
      <c r="E49" s="111"/>
      <c r="F49" s="111"/>
      <c r="G49" s="111"/>
      <c r="H49" s="111"/>
    </row>
    <row r="50" spans="1:8" x14ac:dyDescent="0.3">
      <c r="A50" s="111" t="s">
        <v>238</v>
      </c>
      <c r="B50" s="111"/>
      <c r="C50" s="111"/>
      <c r="D50" s="111"/>
      <c r="E50" s="111"/>
      <c r="F50" s="111"/>
      <c r="G50" s="111"/>
      <c r="H50" s="111"/>
    </row>
    <row r="51" spans="1:8" x14ac:dyDescent="0.3">
      <c r="A51" s="111" t="s">
        <v>239</v>
      </c>
      <c r="B51" s="111"/>
      <c r="C51" s="111"/>
      <c r="D51" s="111"/>
      <c r="E51" s="111"/>
      <c r="F51" s="111"/>
      <c r="G51" s="111"/>
      <c r="H51" s="111"/>
    </row>
    <row r="52" spans="1:8" x14ac:dyDescent="0.3">
      <c r="A52" s="111" t="s">
        <v>240</v>
      </c>
      <c r="B52" s="111"/>
      <c r="C52" s="111"/>
      <c r="D52" s="111"/>
      <c r="E52" s="111"/>
      <c r="F52" s="111"/>
      <c r="G52" s="111"/>
      <c r="H52" s="111"/>
    </row>
    <row r="53" spans="1:8" x14ac:dyDescent="0.3">
      <c r="A53" s="111" t="s">
        <v>241</v>
      </c>
      <c r="B53" s="111"/>
      <c r="C53" s="111"/>
      <c r="D53" s="111"/>
      <c r="E53" s="111"/>
      <c r="F53" s="111"/>
      <c r="G53" s="111"/>
      <c r="H53" s="111"/>
    </row>
    <row r="54" spans="1:8" x14ac:dyDescent="0.3">
      <c r="A54" s="111" t="s">
        <v>242</v>
      </c>
      <c r="B54" s="111"/>
      <c r="C54" s="111"/>
      <c r="D54" s="111"/>
      <c r="E54" s="111"/>
      <c r="F54" s="111"/>
      <c r="G54" s="111"/>
      <c r="H54" s="111"/>
    </row>
    <row r="55" spans="1:8" x14ac:dyDescent="0.3">
      <c r="A55" s="111" t="s">
        <v>243</v>
      </c>
      <c r="B55" s="111"/>
      <c r="C55" s="111"/>
      <c r="D55" s="111"/>
      <c r="E55" s="111"/>
      <c r="F55" s="111"/>
      <c r="G55" s="111"/>
      <c r="H55" s="111"/>
    </row>
    <row r="56" spans="1:8" x14ac:dyDescent="0.3">
      <c r="A56" s="111" t="s">
        <v>244</v>
      </c>
      <c r="B56" s="111"/>
      <c r="C56" s="111"/>
      <c r="D56" s="111"/>
      <c r="E56" s="111"/>
      <c r="F56" s="111"/>
      <c r="G56" s="111"/>
      <c r="H56" s="111"/>
    </row>
    <row r="57" spans="1:8" x14ac:dyDescent="0.3">
      <c r="A57" s="111" t="s">
        <v>212</v>
      </c>
      <c r="B57" s="111"/>
      <c r="C57" s="111"/>
      <c r="D57" s="111"/>
      <c r="E57" s="111"/>
      <c r="F57" s="111"/>
      <c r="G57" s="111"/>
      <c r="H57" s="111"/>
    </row>
    <row r="58" spans="1:8" x14ac:dyDescent="0.3">
      <c r="A58" s="111" t="s">
        <v>245</v>
      </c>
      <c r="B58" s="111"/>
      <c r="C58" s="111"/>
      <c r="D58" s="111"/>
      <c r="E58" s="111"/>
      <c r="F58" s="111"/>
      <c r="G58" s="111"/>
      <c r="H58" s="111"/>
    </row>
    <row r="59" spans="1:8" x14ac:dyDescent="0.3">
      <c r="A59" s="111" t="s">
        <v>246</v>
      </c>
      <c r="B59" s="111"/>
      <c r="C59" s="111"/>
      <c r="D59" s="111"/>
      <c r="E59" s="111"/>
      <c r="F59" s="111"/>
      <c r="G59" s="111"/>
      <c r="H59" s="111"/>
    </row>
    <row r="60" spans="1:8" x14ac:dyDescent="0.3">
      <c r="A60" s="111" t="s">
        <v>247</v>
      </c>
      <c r="B60" s="111"/>
      <c r="C60" s="111"/>
      <c r="D60" s="111"/>
      <c r="E60" s="111"/>
      <c r="F60" s="111"/>
      <c r="G60" s="111"/>
      <c r="H60" s="111"/>
    </row>
    <row r="61" spans="1:8" x14ac:dyDescent="0.3">
      <c r="A61" s="111" t="s">
        <v>248</v>
      </c>
      <c r="B61" s="111"/>
      <c r="C61" s="111"/>
      <c r="D61" s="111"/>
      <c r="E61" s="111"/>
      <c r="F61" s="111"/>
      <c r="G61" s="111"/>
      <c r="H61" s="111"/>
    </row>
    <row r="62" spans="1:8" x14ac:dyDescent="0.3">
      <c r="A62" s="111" t="s">
        <v>249</v>
      </c>
      <c r="B62" s="111"/>
      <c r="C62" s="111"/>
      <c r="D62" s="111"/>
      <c r="E62" s="111"/>
      <c r="F62" s="111"/>
      <c r="G62" s="111"/>
      <c r="H62" s="111"/>
    </row>
    <row r="63" spans="1:8" x14ac:dyDescent="0.3">
      <c r="A63" s="111" t="s">
        <v>250</v>
      </c>
      <c r="B63" s="111"/>
      <c r="C63" s="111"/>
      <c r="D63" s="111"/>
      <c r="E63" s="111"/>
      <c r="F63" s="111"/>
      <c r="G63" s="111"/>
      <c r="H63" s="111"/>
    </row>
    <row r="64" spans="1:8" x14ac:dyDescent="0.3">
      <c r="A64" s="111" t="s">
        <v>251</v>
      </c>
      <c r="B64" s="111"/>
      <c r="C64" s="111"/>
      <c r="D64" s="111"/>
      <c r="E64" s="111"/>
      <c r="F64" s="111"/>
      <c r="G64" s="111"/>
      <c r="H64" s="111"/>
    </row>
    <row r="65" spans="1:8" x14ac:dyDescent="0.3">
      <c r="A65" s="111" t="s">
        <v>252</v>
      </c>
      <c r="B65" s="111"/>
      <c r="C65" s="111"/>
      <c r="D65" s="111"/>
      <c r="E65" s="111"/>
      <c r="F65" s="111"/>
      <c r="G65" s="111"/>
      <c r="H65" s="111"/>
    </row>
    <row r="66" spans="1:8" x14ac:dyDescent="0.3">
      <c r="A66" s="111" t="s">
        <v>253</v>
      </c>
      <c r="B66" s="111"/>
      <c r="C66" s="111"/>
      <c r="D66" s="111"/>
      <c r="E66" s="111"/>
      <c r="F66" s="111"/>
      <c r="G66" s="111"/>
      <c r="H66" s="111"/>
    </row>
    <row r="67" spans="1:8" x14ac:dyDescent="0.3">
      <c r="A67" s="111" t="s">
        <v>212</v>
      </c>
      <c r="B67" s="111"/>
      <c r="C67" s="111"/>
      <c r="D67" s="111"/>
      <c r="E67" s="111"/>
      <c r="F67" s="111"/>
      <c r="G67" s="111"/>
      <c r="H67" s="111"/>
    </row>
    <row r="68" spans="1:8" x14ac:dyDescent="0.3">
      <c r="A68" s="111" t="s">
        <v>254</v>
      </c>
      <c r="B68" s="111"/>
      <c r="C68" s="111"/>
      <c r="D68" s="111"/>
      <c r="E68" s="111"/>
      <c r="F68" s="111"/>
      <c r="G68" s="111"/>
      <c r="H68" s="111"/>
    </row>
    <row r="69" spans="1:8" x14ac:dyDescent="0.3">
      <c r="A69" s="111" t="s">
        <v>255</v>
      </c>
      <c r="B69" s="111"/>
      <c r="C69" s="111"/>
      <c r="D69" s="111"/>
      <c r="E69" s="111"/>
      <c r="F69" s="111"/>
      <c r="G69" s="111"/>
      <c r="H69" s="111"/>
    </row>
    <row r="70" spans="1:8" x14ac:dyDescent="0.3">
      <c r="A70" s="111" t="s">
        <v>256</v>
      </c>
      <c r="B70" s="111"/>
      <c r="C70" s="111"/>
      <c r="D70" s="111"/>
      <c r="E70" s="111"/>
      <c r="F70" s="111"/>
      <c r="G70" s="111"/>
      <c r="H70" s="111"/>
    </row>
    <row r="71" spans="1:8" x14ac:dyDescent="0.3">
      <c r="A71" s="111" t="s">
        <v>257</v>
      </c>
      <c r="B71" s="111"/>
      <c r="C71" s="111"/>
      <c r="D71" s="111"/>
      <c r="E71" s="111"/>
      <c r="F71" s="111"/>
      <c r="G71" s="111"/>
      <c r="H71" s="111"/>
    </row>
    <row r="72" spans="1:8" x14ac:dyDescent="0.3">
      <c r="A72" s="111" t="s">
        <v>258</v>
      </c>
      <c r="B72" s="111"/>
      <c r="C72" s="111"/>
      <c r="D72" s="111"/>
      <c r="E72" s="111"/>
      <c r="F72" s="111"/>
      <c r="G72" s="111"/>
      <c r="H72" s="111"/>
    </row>
    <row r="73" spans="1:8" x14ac:dyDescent="0.3">
      <c r="A73" s="111" t="s">
        <v>259</v>
      </c>
      <c r="B73" s="111"/>
      <c r="C73" s="111"/>
      <c r="D73" s="111"/>
      <c r="E73" s="111"/>
      <c r="F73" s="111"/>
      <c r="G73" s="111"/>
      <c r="H73" s="111"/>
    </row>
    <row r="74" spans="1:8" x14ac:dyDescent="0.3">
      <c r="A74" s="111" t="s">
        <v>260</v>
      </c>
      <c r="B74" s="111"/>
      <c r="C74" s="111"/>
      <c r="D74" s="111"/>
      <c r="E74" s="111"/>
      <c r="F74" s="111"/>
      <c r="G74" s="111"/>
      <c r="H74" s="111"/>
    </row>
    <row r="75" spans="1:8" x14ac:dyDescent="0.3">
      <c r="A75" s="111" t="s">
        <v>261</v>
      </c>
      <c r="B75" s="111"/>
      <c r="C75" s="111"/>
      <c r="D75" s="111"/>
      <c r="E75" s="111"/>
      <c r="F75" s="111"/>
      <c r="G75" s="111"/>
      <c r="H75" s="111"/>
    </row>
    <row r="76" spans="1:8" x14ac:dyDescent="0.3">
      <c r="A76" s="111" t="s">
        <v>262</v>
      </c>
      <c r="B76" s="111"/>
      <c r="C76" s="111"/>
      <c r="D76" s="111"/>
      <c r="E76" s="111"/>
      <c r="F76" s="111"/>
      <c r="G76" s="111"/>
      <c r="H76" s="111"/>
    </row>
    <row r="77" spans="1:8" x14ac:dyDescent="0.3">
      <c r="A77" s="111" t="s">
        <v>258</v>
      </c>
      <c r="B77" s="111"/>
      <c r="C77" s="111"/>
      <c r="D77" s="111"/>
      <c r="E77" s="111"/>
      <c r="F77" s="111"/>
      <c r="G77" s="111"/>
      <c r="H77" s="111"/>
    </row>
    <row r="78" spans="1:8" x14ac:dyDescent="0.3">
      <c r="A78" s="111" t="s">
        <v>212</v>
      </c>
      <c r="B78" s="111"/>
      <c r="C78" s="111"/>
      <c r="D78" s="111"/>
      <c r="E78" s="111"/>
      <c r="F78" s="111"/>
      <c r="G78" s="111"/>
      <c r="H78" s="111"/>
    </row>
    <row r="79" spans="1:8" x14ac:dyDescent="0.3">
      <c r="A79" s="111" t="s">
        <v>263</v>
      </c>
      <c r="B79" s="111"/>
      <c r="C79" s="111"/>
      <c r="D79" s="111"/>
      <c r="E79" s="111"/>
      <c r="F79" s="111"/>
      <c r="G79" s="111"/>
      <c r="H79" s="111"/>
    </row>
    <row r="80" spans="1:8" x14ac:dyDescent="0.3">
      <c r="A80" s="111" t="s">
        <v>264</v>
      </c>
      <c r="B80" s="111"/>
      <c r="C80" s="111"/>
      <c r="D80" s="111"/>
      <c r="E80" s="111"/>
      <c r="F80" s="111"/>
      <c r="G80" s="111"/>
      <c r="H80" s="111"/>
    </row>
    <row r="81" spans="1:8" x14ac:dyDescent="0.3">
      <c r="A81" s="111" t="s">
        <v>265</v>
      </c>
      <c r="B81" s="111"/>
      <c r="C81" s="111"/>
      <c r="D81" s="111"/>
      <c r="E81" s="111"/>
      <c r="F81" s="111"/>
      <c r="G81" s="111"/>
      <c r="H81" s="111"/>
    </row>
    <row r="82" spans="1:8" x14ac:dyDescent="0.3">
      <c r="A82" s="111" t="s">
        <v>266</v>
      </c>
      <c r="B82" s="111"/>
      <c r="C82" s="111"/>
      <c r="D82" s="111"/>
      <c r="E82" s="111"/>
      <c r="F82" s="111"/>
      <c r="G82" s="111"/>
      <c r="H82" s="111"/>
    </row>
    <row r="83" spans="1:8" x14ac:dyDescent="0.3">
      <c r="A83" s="111" t="s">
        <v>267</v>
      </c>
      <c r="B83" s="111"/>
      <c r="C83" s="111"/>
      <c r="D83" s="111"/>
      <c r="E83" s="111"/>
      <c r="F83" s="111"/>
      <c r="G83" s="111"/>
      <c r="H83" s="111"/>
    </row>
    <row r="84" spans="1:8" x14ac:dyDescent="0.3">
      <c r="A84" s="111" t="s">
        <v>268</v>
      </c>
      <c r="B84" s="111"/>
      <c r="C84" s="111"/>
      <c r="D84" s="111"/>
      <c r="E84" s="111"/>
      <c r="F84" s="111"/>
      <c r="G84" s="111"/>
      <c r="H84" s="111"/>
    </row>
    <row r="85" spans="1:8" x14ac:dyDescent="0.3">
      <c r="A85" s="111" t="s">
        <v>269</v>
      </c>
      <c r="B85" s="111"/>
      <c r="C85" s="111"/>
      <c r="D85" s="111"/>
      <c r="E85" s="111"/>
      <c r="F85" s="111"/>
      <c r="G85" s="111"/>
      <c r="H85" s="111"/>
    </row>
    <row r="86" spans="1:8" x14ac:dyDescent="0.3">
      <c r="A86" s="111" t="s">
        <v>270</v>
      </c>
      <c r="B86" s="111"/>
      <c r="C86" s="111"/>
      <c r="D86" s="111"/>
      <c r="E86" s="111"/>
      <c r="F86" s="111"/>
      <c r="G86" s="111"/>
      <c r="H86" s="111"/>
    </row>
    <row r="87" spans="1:8" x14ac:dyDescent="0.3">
      <c r="A87" s="111" t="s">
        <v>271</v>
      </c>
      <c r="B87" s="111"/>
      <c r="C87" s="111"/>
      <c r="D87" s="111"/>
      <c r="E87" s="111"/>
      <c r="F87" s="111"/>
      <c r="G87" s="111"/>
      <c r="H87" s="111"/>
    </row>
    <row r="88" spans="1:8" x14ac:dyDescent="0.3">
      <c r="A88" s="111" t="s">
        <v>212</v>
      </c>
      <c r="B88" s="111"/>
      <c r="C88" s="111"/>
      <c r="D88" s="111"/>
      <c r="E88" s="111"/>
      <c r="F88" s="111"/>
      <c r="G88" s="111"/>
      <c r="H88" s="111"/>
    </row>
    <row r="89" spans="1:8" x14ac:dyDescent="0.3">
      <c r="A89" s="111" t="s">
        <v>272</v>
      </c>
      <c r="B89" s="111"/>
      <c r="C89" s="111"/>
      <c r="D89" s="111"/>
      <c r="E89" s="111"/>
      <c r="F89" s="111"/>
      <c r="G89" s="111"/>
      <c r="H89" s="111"/>
    </row>
    <row r="90" spans="1:8" x14ac:dyDescent="0.3">
      <c r="A90" s="111" t="s">
        <v>273</v>
      </c>
      <c r="B90" s="111"/>
      <c r="C90" s="111"/>
      <c r="D90" s="111"/>
      <c r="E90" s="111"/>
      <c r="F90" s="111"/>
      <c r="G90" s="111"/>
      <c r="H90" s="111"/>
    </row>
    <row r="91" spans="1:8" x14ac:dyDescent="0.3">
      <c r="A91" s="111" t="s">
        <v>274</v>
      </c>
      <c r="B91" s="111"/>
      <c r="C91" s="111"/>
      <c r="D91" s="111"/>
      <c r="E91" s="111"/>
      <c r="F91" s="111"/>
      <c r="G91" s="111"/>
      <c r="H91" s="111"/>
    </row>
    <row r="92" spans="1:8" x14ac:dyDescent="0.3">
      <c r="A92" s="111" t="s">
        <v>243</v>
      </c>
      <c r="B92" s="111"/>
      <c r="C92" s="111"/>
      <c r="D92" s="111"/>
      <c r="E92" s="111"/>
      <c r="F92" s="111"/>
      <c r="G92" s="111"/>
      <c r="H92" s="111"/>
    </row>
    <row r="93" spans="1:8" x14ac:dyDescent="0.3">
      <c r="A93" s="111" t="s">
        <v>275</v>
      </c>
      <c r="B93" s="111"/>
      <c r="C93" s="111"/>
      <c r="D93" s="111"/>
      <c r="E93" s="111"/>
      <c r="F93" s="111"/>
      <c r="G93" s="111"/>
      <c r="H93" s="111"/>
    </row>
    <row r="94" spans="1:8" x14ac:dyDescent="0.3">
      <c r="A94" s="111" t="s">
        <v>212</v>
      </c>
      <c r="B94" s="111"/>
      <c r="C94" s="111"/>
      <c r="D94" s="111"/>
      <c r="E94" s="111"/>
      <c r="F94" s="111"/>
      <c r="G94" s="111"/>
      <c r="H94" s="111"/>
    </row>
    <row r="95" spans="1:8" x14ac:dyDescent="0.3">
      <c r="A95" s="111" t="s">
        <v>276</v>
      </c>
      <c r="B95" s="111"/>
      <c r="C95" s="111"/>
      <c r="D95" s="111"/>
      <c r="E95" s="111"/>
      <c r="F95" s="111"/>
      <c r="G95" s="111"/>
      <c r="H95" s="111"/>
    </row>
    <row r="96" spans="1:8" x14ac:dyDescent="0.3">
      <c r="A96" s="111" t="s">
        <v>277</v>
      </c>
      <c r="B96" s="111"/>
      <c r="C96" s="111"/>
      <c r="D96" s="111"/>
      <c r="E96" s="111"/>
      <c r="F96" s="111"/>
      <c r="G96" s="111"/>
      <c r="H96" s="111"/>
    </row>
    <row r="97" spans="1:8" x14ac:dyDescent="0.3">
      <c r="A97" s="111" t="s">
        <v>278</v>
      </c>
      <c r="B97" s="111"/>
      <c r="C97" s="111"/>
      <c r="D97" s="111"/>
      <c r="E97" s="111"/>
      <c r="F97" s="111"/>
      <c r="G97" s="111"/>
      <c r="H97" s="111"/>
    </row>
    <row r="98" spans="1:8" x14ac:dyDescent="0.3">
      <c r="A98" s="111" t="s">
        <v>279</v>
      </c>
      <c r="B98" s="111"/>
      <c r="C98" s="111"/>
      <c r="D98" s="111"/>
      <c r="E98" s="111"/>
      <c r="F98" s="111"/>
      <c r="G98" s="111"/>
      <c r="H98" s="111"/>
    </row>
    <row r="99" spans="1:8" x14ac:dyDescent="0.3">
      <c r="A99" s="111" t="s">
        <v>280</v>
      </c>
      <c r="B99" s="111"/>
      <c r="C99" s="111"/>
      <c r="D99" s="111"/>
      <c r="E99" s="111"/>
      <c r="F99" s="111"/>
      <c r="G99" s="111"/>
      <c r="H99" s="111"/>
    </row>
    <row r="100" spans="1:8" x14ac:dyDescent="0.3">
      <c r="A100" s="111" t="s">
        <v>281</v>
      </c>
      <c r="B100" s="111"/>
      <c r="C100" s="111"/>
      <c r="D100" s="111"/>
      <c r="E100" s="111"/>
      <c r="F100" s="111"/>
      <c r="G100" s="111"/>
      <c r="H100" s="111"/>
    </row>
    <row r="101" spans="1:8" x14ac:dyDescent="0.3">
      <c r="A101" s="111" t="s">
        <v>282</v>
      </c>
      <c r="B101" s="111"/>
      <c r="C101" s="111"/>
      <c r="D101" s="111"/>
      <c r="E101" s="111"/>
      <c r="F101" s="111"/>
      <c r="G101" s="111"/>
      <c r="H101" s="111"/>
    </row>
    <row r="102" spans="1:8" x14ac:dyDescent="0.3">
      <c r="A102" s="111" t="s">
        <v>283</v>
      </c>
      <c r="B102" s="111"/>
      <c r="C102" s="111"/>
      <c r="D102" s="111"/>
      <c r="E102" s="111"/>
      <c r="F102" s="111"/>
      <c r="G102" s="111"/>
      <c r="H102" s="111"/>
    </row>
    <row r="103" spans="1:8" x14ac:dyDescent="0.3">
      <c r="A103" s="111" t="s">
        <v>284</v>
      </c>
      <c r="B103" s="111"/>
      <c r="C103" s="111"/>
      <c r="D103" s="111"/>
      <c r="E103" s="111"/>
      <c r="F103" s="111"/>
      <c r="G103" s="111"/>
      <c r="H103" s="111"/>
    </row>
    <row r="104" spans="1:8" x14ac:dyDescent="0.3">
      <c r="A104" s="111" t="s">
        <v>285</v>
      </c>
      <c r="B104" s="111"/>
      <c r="C104" s="111"/>
      <c r="D104" s="111"/>
      <c r="E104" s="111"/>
      <c r="F104" s="111"/>
      <c r="G104" s="111"/>
      <c r="H104" s="111"/>
    </row>
    <row r="105" spans="1:8" x14ac:dyDescent="0.3">
      <c r="A105" s="111" t="s">
        <v>212</v>
      </c>
      <c r="B105" s="111"/>
      <c r="C105" s="111"/>
      <c r="D105" s="111"/>
      <c r="E105" s="111"/>
      <c r="F105" s="111"/>
      <c r="G105" s="111"/>
      <c r="H105" s="111"/>
    </row>
    <row r="106" spans="1:8" x14ac:dyDescent="0.3">
      <c r="A106" s="111" t="s">
        <v>286</v>
      </c>
      <c r="B106" s="111"/>
      <c r="C106" s="111"/>
      <c r="D106" s="111"/>
      <c r="E106" s="111"/>
      <c r="F106" s="111"/>
      <c r="G106" s="111"/>
      <c r="H106" s="111"/>
    </row>
    <row r="107" spans="1:8" x14ac:dyDescent="0.3">
      <c r="A107" s="111" t="s">
        <v>287</v>
      </c>
      <c r="B107" s="111"/>
      <c r="C107" s="111"/>
      <c r="D107" s="111"/>
      <c r="E107" s="111"/>
      <c r="F107" s="111"/>
      <c r="G107" s="111"/>
      <c r="H107" s="111"/>
    </row>
    <row r="108" spans="1:8" x14ac:dyDescent="0.3">
      <c r="A108" s="111" t="s">
        <v>256</v>
      </c>
      <c r="B108" s="111"/>
      <c r="C108" s="111"/>
      <c r="D108" s="111"/>
      <c r="E108" s="111"/>
      <c r="F108" s="111"/>
      <c r="G108" s="111"/>
      <c r="H108" s="111"/>
    </row>
    <row r="109" spans="1:8" x14ac:dyDescent="0.3">
      <c r="A109" s="111" t="s">
        <v>288</v>
      </c>
      <c r="B109" s="111"/>
      <c r="C109" s="111"/>
      <c r="D109" s="111"/>
      <c r="E109" s="111"/>
      <c r="F109" s="111"/>
      <c r="G109" s="111"/>
      <c r="H109" s="111"/>
    </row>
    <row r="110" spans="1:8" x14ac:dyDescent="0.3">
      <c r="A110" s="111" t="s">
        <v>258</v>
      </c>
      <c r="B110" s="111"/>
      <c r="C110" s="111"/>
      <c r="D110" s="111"/>
      <c r="E110" s="111"/>
      <c r="F110" s="111"/>
      <c r="G110" s="111"/>
      <c r="H110" s="111"/>
    </row>
    <row r="111" spans="1:8" x14ac:dyDescent="0.3">
      <c r="A111" s="111" t="s">
        <v>289</v>
      </c>
      <c r="B111" s="111"/>
      <c r="C111" s="111"/>
      <c r="D111" s="111"/>
      <c r="E111" s="111"/>
      <c r="F111" s="111"/>
      <c r="G111" s="111"/>
      <c r="H111" s="111"/>
    </row>
    <row r="112" spans="1:8" x14ac:dyDescent="0.3">
      <c r="A112" s="111" t="s">
        <v>290</v>
      </c>
      <c r="B112" s="111"/>
      <c r="C112" s="111"/>
      <c r="D112" s="111"/>
      <c r="E112" s="111"/>
      <c r="F112" s="111"/>
      <c r="G112" s="111"/>
      <c r="H112" s="111"/>
    </row>
    <row r="113" spans="1:8" x14ac:dyDescent="0.3">
      <c r="A113" s="111" t="s">
        <v>291</v>
      </c>
      <c r="B113" s="111"/>
      <c r="C113" s="111"/>
      <c r="D113" s="111"/>
      <c r="E113" s="111"/>
      <c r="F113" s="111"/>
      <c r="G113" s="111"/>
      <c r="H113" s="111"/>
    </row>
    <row r="114" spans="1:8" x14ac:dyDescent="0.3">
      <c r="A114" s="111" t="s">
        <v>292</v>
      </c>
      <c r="B114" s="111"/>
      <c r="C114" s="111"/>
      <c r="D114" s="111"/>
      <c r="E114" s="111"/>
      <c r="F114" s="111"/>
      <c r="G114" s="111"/>
      <c r="H114" s="111"/>
    </row>
    <row r="115" spans="1:8" x14ac:dyDescent="0.3">
      <c r="A115" s="111" t="s">
        <v>256</v>
      </c>
      <c r="B115" s="111"/>
      <c r="C115" s="111"/>
      <c r="D115" s="111"/>
      <c r="E115" s="111"/>
      <c r="F115" s="111"/>
      <c r="G115" s="111"/>
      <c r="H115" s="111"/>
    </row>
    <row r="116" spans="1:8" x14ac:dyDescent="0.3">
      <c r="A116" s="111" t="s">
        <v>293</v>
      </c>
      <c r="B116" s="111"/>
      <c r="C116" s="111"/>
      <c r="D116" s="111"/>
      <c r="E116" s="111"/>
      <c r="F116" s="111"/>
      <c r="G116" s="111"/>
      <c r="H116" s="111"/>
    </row>
    <row r="117" spans="1:8" x14ac:dyDescent="0.3">
      <c r="A117" s="111" t="s">
        <v>294</v>
      </c>
      <c r="B117" s="111"/>
      <c r="C117" s="111"/>
      <c r="D117" s="111"/>
      <c r="E117" s="111"/>
      <c r="F117" s="111"/>
      <c r="G117" s="111"/>
      <c r="H117" s="111"/>
    </row>
    <row r="118" spans="1:8" x14ac:dyDescent="0.3">
      <c r="A118" s="111" t="s">
        <v>295</v>
      </c>
      <c r="B118" s="111"/>
      <c r="C118" s="111"/>
      <c r="D118" s="111"/>
      <c r="E118" s="111"/>
      <c r="F118" s="111"/>
      <c r="G118" s="111"/>
      <c r="H118" s="111"/>
    </row>
    <row r="119" spans="1:8" x14ac:dyDescent="0.3">
      <c r="A119" s="111" t="s">
        <v>296</v>
      </c>
      <c r="B119" s="111"/>
      <c r="C119" s="111"/>
      <c r="D119" s="111"/>
      <c r="E119" s="111"/>
      <c r="F119" s="111"/>
      <c r="G119" s="111"/>
      <c r="H119" s="111"/>
    </row>
    <row r="120" spans="1:8" x14ac:dyDescent="0.3">
      <c r="A120" s="111" t="s">
        <v>297</v>
      </c>
      <c r="B120" s="111"/>
      <c r="C120" s="111"/>
      <c r="D120" s="111"/>
      <c r="E120" s="111"/>
      <c r="F120" s="111"/>
      <c r="G120" s="111"/>
      <c r="H120" s="111"/>
    </row>
    <row r="121" spans="1:8" x14ac:dyDescent="0.3">
      <c r="A121" s="111" t="s">
        <v>298</v>
      </c>
      <c r="B121" s="111"/>
      <c r="C121" s="111"/>
      <c r="D121" s="111"/>
      <c r="E121" s="111"/>
      <c r="F121" s="111"/>
      <c r="G121" s="111"/>
      <c r="H121" s="111"/>
    </row>
    <row r="122" spans="1:8" x14ac:dyDescent="0.3">
      <c r="A122" s="111" t="s">
        <v>299</v>
      </c>
      <c r="B122" s="111"/>
      <c r="C122" s="111"/>
      <c r="D122" s="111"/>
      <c r="E122" s="111"/>
      <c r="F122" s="111"/>
      <c r="G122" s="111"/>
      <c r="H122" s="111"/>
    </row>
    <row r="123" spans="1:8" x14ac:dyDescent="0.3">
      <c r="A123" s="111" t="s">
        <v>300</v>
      </c>
      <c r="B123" s="111"/>
      <c r="C123" s="111"/>
      <c r="D123" s="111"/>
      <c r="E123" s="111"/>
      <c r="F123" s="111"/>
      <c r="G123" s="111"/>
      <c r="H123" s="111"/>
    </row>
    <row r="124" spans="1:8" x14ac:dyDescent="0.3">
      <c r="A124" s="111" t="s">
        <v>301</v>
      </c>
      <c r="B124" s="111"/>
      <c r="C124" s="111"/>
      <c r="D124" s="111"/>
      <c r="E124" s="111"/>
      <c r="F124" s="111"/>
      <c r="G124" s="111"/>
      <c r="H124" s="111"/>
    </row>
    <row r="125" spans="1:8" x14ac:dyDescent="0.3">
      <c r="A125" s="111" t="s">
        <v>302</v>
      </c>
      <c r="B125" s="111"/>
      <c r="C125" s="111"/>
      <c r="D125" s="111"/>
      <c r="E125" s="111"/>
      <c r="F125" s="111"/>
      <c r="G125" s="111"/>
      <c r="H125" s="111"/>
    </row>
    <row r="126" spans="1:8" x14ac:dyDescent="0.3">
      <c r="A126" s="111" t="s">
        <v>303</v>
      </c>
      <c r="B126" s="111"/>
      <c r="C126" s="111"/>
      <c r="D126" s="111"/>
      <c r="E126" s="111"/>
      <c r="F126" s="111"/>
      <c r="G126" s="111"/>
      <c r="H126" s="111"/>
    </row>
    <row r="127" spans="1:8" x14ac:dyDescent="0.3">
      <c r="A127" s="111" t="s">
        <v>304</v>
      </c>
      <c r="B127" s="111"/>
      <c r="C127" s="111"/>
      <c r="D127" s="111"/>
      <c r="E127" s="111"/>
      <c r="F127" s="111"/>
      <c r="G127" s="111"/>
      <c r="H127" s="111"/>
    </row>
    <row r="128" spans="1:8" x14ac:dyDescent="0.3">
      <c r="A128" s="111" t="s">
        <v>258</v>
      </c>
      <c r="B128" s="111"/>
      <c r="C128" s="111"/>
      <c r="D128" s="111"/>
      <c r="E128" s="111"/>
      <c r="F128" s="111"/>
      <c r="G128" s="111"/>
      <c r="H128" s="111"/>
    </row>
    <row r="129" spans="1:8" x14ac:dyDescent="0.3">
      <c r="A129" s="111" t="s">
        <v>212</v>
      </c>
      <c r="B129" s="111"/>
      <c r="C129" s="111"/>
      <c r="D129" s="111"/>
      <c r="E129" s="111"/>
      <c r="F129" s="111"/>
      <c r="G129" s="111"/>
      <c r="H129" s="111"/>
    </row>
    <row r="130" spans="1:8" x14ac:dyDescent="0.3">
      <c r="A130" s="111" t="s">
        <v>305</v>
      </c>
      <c r="B130" s="111"/>
      <c r="C130" s="111"/>
      <c r="D130" s="111"/>
      <c r="E130" s="111"/>
      <c r="F130" s="111"/>
      <c r="G130" s="111"/>
      <c r="H130" s="111"/>
    </row>
    <row r="131" spans="1:8" x14ac:dyDescent="0.3">
      <c r="A131" s="111" t="s">
        <v>306</v>
      </c>
      <c r="B131" s="111"/>
      <c r="C131" s="111"/>
      <c r="D131" s="111"/>
      <c r="E131" s="111"/>
      <c r="F131" s="111"/>
      <c r="G131" s="111"/>
      <c r="H131" s="111"/>
    </row>
    <row r="132" spans="1:8" x14ac:dyDescent="0.3">
      <c r="A132" s="111" t="s">
        <v>307</v>
      </c>
      <c r="B132" s="111"/>
      <c r="C132" s="111"/>
      <c r="D132" s="111"/>
      <c r="E132" s="111"/>
      <c r="F132" s="111"/>
      <c r="G132" s="111"/>
      <c r="H132" s="111"/>
    </row>
    <row r="133" spans="1:8" x14ac:dyDescent="0.3">
      <c r="A133" s="111" t="s">
        <v>308</v>
      </c>
      <c r="B133" s="111"/>
      <c r="C133" s="111"/>
      <c r="D133" s="111"/>
      <c r="E133" s="111"/>
      <c r="F133" s="111"/>
      <c r="G133" s="111"/>
      <c r="H133" s="111"/>
    </row>
    <row r="134" spans="1:8" x14ac:dyDescent="0.3">
      <c r="A134" s="111" t="s">
        <v>309</v>
      </c>
      <c r="B134" s="111"/>
      <c r="C134" s="111"/>
      <c r="D134" s="111"/>
      <c r="E134" s="111"/>
      <c r="F134" s="111"/>
      <c r="G134" s="111"/>
      <c r="H134" s="111"/>
    </row>
    <row r="135" spans="1:8" x14ac:dyDescent="0.3">
      <c r="A135" s="111" t="s">
        <v>310</v>
      </c>
      <c r="B135" s="111"/>
      <c r="C135" s="111"/>
      <c r="D135" s="111"/>
      <c r="E135" s="111"/>
      <c r="F135" s="111"/>
      <c r="G135" s="111"/>
      <c r="H135" s="111"/>
    </row>
    <row r="136" spans="1:8" x14ac:dyDescent="0.3">
      <c r="A136" s="111" t="s">
        <v>311</v>
      </c>
      <c r="B136" s="111"/>
      <c r="C136" s="111"/>
      <c r="D136" s="111"/>
      <c r="E136" s="111"/>
      <c r="F136" s="111"/>
      <c r="G136" s="111"/>
      <c r="H136" s="111"/>
    </row>
    <row r="137" spans="1:8" x14ac:dyDescent="0.3">
      <c r="A137" s="111" t="s">
        <v>312</v>
      </c>
      <c r="B137" s="111"/>
      <c r="C137" s="111"/>
      <c r="D137" s="111"/>
      <c r="E137" s="111"/>
      <c r="F137" s="111"/>
      <c r="G137" s="111"/>
      <c r="H137" s="111"/>
    </row>
    <row r="138" spans="1:8" x14ac:dyDescent="0.3">
      <c r="A138" s="111" t="s">
        <v>313</v>
      </c>
      <c r="B138" s="111"/>
      <c r="C138" s="111"/>
      <c r="D138" s="111"/>
      <c r="E138" s="111"/>
      <c r="F138" s="111"/>
      <c r="G138" s="111"/>
      <c r="H138" s="111"/>
    </row>
    <row r="139" spans="1:8" x14ac:dyDescent="0.3">
      <c r="A139" s="111" t="s">
        <v>314</v>
      </c>
      <c r="B139" s="111"/>
      <c r="C139" s="111"/>
      <c r="D139" s="111"/>
      <c r="E139" s="111"/>
      <c r="F139" s="111"/>
      <c r="G139" s="111"/>
      <c r="H139" s="111"/>
    </row>
    <row r="140" spans="1:8" x14ac:dyDescent="0.3">
      <c r="A140" s="111" t="s">
        <v>315</v>
      </c>
      <c r="B140" s="111"/>
      <c r="C140" s="111"/>
      <c r="D140" s="111"/>
      <c r="E140" s="111"/>
      <c r="F140" s="111"/>
      <c r="G140" s="111"/>
      <c r="H140" s="111"/>
    </row>
    <row r="141" spans="1:8" x14ac:dyDescent="0.3">
      <c r="A141" s="111" t="s">
        <v>316</v>
      </c>
      <c r="B141" s="111"/>
      <c r="C141" s="111"/>
      <c r="D141" s="111"/>
      <c r="E141" s="111"/>
      <c r="F141" s="111"/>
      <c r="G141" s="111"/>
      <c r="H141" s="111"/>
    </row>
    <row r="142" spans="1:8" x14ac:dyDescent="0.3">
      <c r="A142" s="111" t="s">
        <v>317</v>
      </c>
      <c r="B142" s="111"/>
      <c r="C142" s="111"/>
      <c r="D142" s="111"/>
      <c r="E142" s="111"/>
      <c r="F142" s="111"/>
      <c r="G142" s="111"/>
      <c r="H142" s="111"/>
    </row>
    <row r="143" spans="1:8" x14ac:dyDescent="0.3">
      <c r="A143" s="111" t="s">
        <v>318</v>
      </c>
      <c r="B143" s="111"/>
      <c r="C143" s="111"/>
      <c r="D143" s="111"/>
      <c r="E143" s="111"/>
      <c r="F143" s="111"/>
      <c r="G143" s="111"/>
      <c r="H143" s="111"/>
    </row>
    <row r="144" spans="1:8" x14ac:dyDescent="0.3">
      <c r="A144" s="111" t="s">
        <v>300</v>
      </c>
      <c r="B144" s="111"/>
      <c r="C144" s="111"/>
      <c r="D144" s="111"/>
      <c r="E144" s="111"/>
      <c r="F144" s="111"/>
      <c r="G144" s="111"/>
      <c r="H144" s="111"/>
    </row>
    <row r="145" spans="1:8" x14ac:dyDescent="0.3">
      <c r="A145" s="111" t="s">
        <v>319</v>
      </c>
      <c r="B145" s="111"/>
      <c r="C145" s="111"/>
      <c r="D145" s="111"/>
      <c r="E145" s="111"/>
      <c r="F145" s="111"/>
      <c r="G145" s="111"/>
      <c r="H145" s="111"/>
    </row>
    <row r="146" spans="1:8" x14ac:dyDescent="0.3">
      <c r="A146" s="111" t="s">
        <v>241</v>
      </c>
      <c r="B146" s="111"/>
      <c r="C146" s="111"/>
      <c r="D146" s="111"/>
      <c r="E146" s="111"/>
      <c r="F146" s="111"/>
      <c r="G146" s="111"/>
      <c r="H146" s="111"/>
    </row>
    <row r="147" spans="1:8" x14ac:dyDescent="0.3">
      <c r="A147" s="111" t="s">
        <v>320</v>
      </c>
      <c r="B147" s="111"/>
      <c r="C147" s="111"/>
      <c r="D147" s="111"/>
      <c r="E147" s="111"/>
      <c r="F147" s="111"/>
      <c r="G147" s="111"/>
      <c r="H147" s="111"/>
    </row>
    <row r="148" spans="1:8" x14ac:dyDescent="0.3">
      <c r="A148" s="111" t="s">
        <v>243</v>
      </c>
      <c r="B148" s="111"/>
      <c r="C148" s="111"/>
      <c r="D148" s="111"/>
      <c r="E148" s="111"/>
      <c r="F148" s="111"/>
      <c r="G148" s="111"/>
      <c r="H148" s="111"/>
    </row>
    <row r="149" spans="1:8" x14ac:dyDescent="0.3">
      <c r="A149" s="111" t="s">
        <v>321</v>
      </c>
      <c r="B149" s="111"/>
      <c r="C149" s="111"/>
      <c r="D149" s="111"/>
      <c r="E149" s="111"/>
      <c r="F149" s="111"/>
      <c r="G149" s="111"/>
      <c r="H149" s="111"/>
    </row>
    <row r="150" spans="1:8" x14ac:dyDescent="0.3">
      <c r="A150" s="111" t="s">
        <v>322</v>
      </c>
      <c r="B150" s="111"/>
      <c r="C150" s="111"/>
      <c r="D150" s="111"/>
      <c r="E150" s="111"/>
      <c r="F150" s="111"/>
      <c r="G150" s="111"/>
      <c r="H150" s="111"/>
    </row>
    <row r="151" spans="1:8" x14ac:dyDescent="0.3">
      <c r="A151" s="111" t="s">
        <v>212</v>
      </c>
      <c r="B151" s="111"/>
      <c r="C151" s="111"/>
      <c r="D151" s="111"/>
      <c r="E151" s="111"/>
      <c r="F151" s="111"/>
      <c r="G151" s="111"/>
      <c r="H151" s="111"/>
    </row>
    <row r="152" spans="1:8" x14ac:dyDescent="0.3">
      <c r="A152" s="111" t="s">
        <v>323</v>
      </c>
      <c r="B152" s="111"/>
      <c r="C152" s="111"/>
      <c r="D152" s="111"/>
      <c r="E152" s="111"/>
      <c r="F152" s="111"/>
      <c r="G152" s="111"/>
      <c r="H152" s="111"/>
    </row>
    <row r="153" spans="1:8" x14ac:dyDescent="0.3">
      <c r="A153" s="111" t="s">
        <v>324</v>
      </c>
      <c r="B153" s="111"/>
      <c r="C153" s="111"/>
      <c r="D153" s="111"/>
      <c r="E153" s="111"/>
      <c r="F153" s="111"/>
      <c r="G153" s="111"/>
      <c r="H153" s="111"/>
    </row>
    <row r="154" spans="1:8" x14ac:dyDescent="0.3">
      <c r="A154" s="111" t="s">
        <v>325</v>
      </c>
      <c r="B154" s="111"/>
      <c r="C154" s="111"/>
      <c r="D154" s="111"/>
      <c r="E154" s="111"/>
      <c r="F154" s="111"/>
      <c r="G154" s="111"/>
      <c r="H154" s="111"/>
    </row>
    <row r="155" spans="1:8" x14ac:dyDescent="0.3">
      <c r="A155" s="111" t="s">
        <v>326</v>
      </c>
      <c r="B155" s="111"/>
      <c r="C155" s="111"/>
      <c r="D155" s="111"/>
      <c r="E155" s="111"/>
      <c r="F155" s="111"/>
      <c r="G155" s="111"/>
      <c r="H155" s="111"/>
    </row>
    <row r="156" spans="1:8" x14ac:dyDescent="0.3">
      <c r="A156" s="111" t="s">
        <v>327</v>
      </c>
      <c r="B156" s="111"/>
      <c r="C156" s="111"/>
      <c r="D156" s="111"/>
      <c r="E156" s="111"/>
      <c r="F156" s="111"/>
      <c r="G156" s="111"/>
      <c r="H156" s="111"/>
    </row>
    <row r="157" spans="1:8" x14ac:dyDescent="0.3">
      <c r="A157" s="111" t="s">
        <v>328</v>
      </c>
      <c r="B157" s="111"/>
      <c r="C157" s="111"/>
      <c r="D157" s="111"/>
      <c r="E157" s="111"/>
      <c r="F157" s="111"/>
      <c r="G157" s="111"/>
      <c r="H157" s="111"/>
    </row>
    <row r="158" spans="1:8" x14ac:dyDescent="0.3">
      <c r="A158" s="111" t="s">
        <v>329</v>
      </c>
      <c r="B158" s="111"/>
      <c r="C158" s="111"/>
      <c r="D158" s="111"/>
      <c r="E158" s="111"/>
      <c r="F158" s="111"/>
      <c r="G158" s="111"/>
      <c r="H158" s="111"/>
    </row>
    <row r="159" spans="1:8" x14ac:dyDescent="0.3">
      <c r="A159" s="111" t="s">
        <v>330</v>
      </c>
      <c r="B159" s="111"/>
      <c r="C159" s="111"/>
      <c r="D159" s="111"/>
      <c r="E159" s="111"/>
      <c r="F159" s="111"/>
      <c r="G159" s="111"/>
      <c r="H159" s="111"/>
    </row>
    <row r="160" spans="1:8" x14ac:dyDescent="0.3">
      <c r="A160" s="111" t="s">
        <v>331</v>
      </c>
      <c r="B160" s="111"/>
      <c r="C160" s="111"/>
      <c r="D160" s="111"/>
      <c r="E160" s="111"/>
      <c r="F160" s="111"/>
      <c r="G160" s="111"/>
      <c r="H160" s="111"/>
    </row>
    <row r="161" spans="1:8" x14ac:dyDescent="0.3">
      <c r="A161" s="111" t="s">
        <v>332</v>
      </c>
      <c r="B161" s="111"/>
      <c r="C161" s="111"/>
      <c r="D161" s="111"/>
      <c r="E161" s="111"/>
      <c r="F161" s="111"/>
      <c r="G161" s="111"/>
      <c r="H161" s="111"/>
    </row>
    <row r="162" spans="1:8" x14ac:dyDescent="0.3">
      <c r="A162" s="111" t="s">
        <v>333</v>
      </c>
      <c r="B162" s="111"/>
      <c r="C162" s="111"/>
      <c r="D162" s="111"/>
      <c r="E162" s="111"/>
      <c r="F162" s="111"/>
      <c r="G162" s="111"/>
      <c r="H162" s="111"/>
    </row>
    <row r="163" spans="1:8" x14ac:dyDescent="0.3">
      <c r="A163" s="111" t="s">
        <v>334</v>
      </c>
      <c r="B163" s="111"/>
      <c r="C163" s="111"/>
      <c r="D163" s="111"/>
      <c r="E163" s="111"/>
      <c r="F163" s="111"/>
      <c r="G163" s="111"/>
      <c r="H163" s="111"/>
    </row>
    <row r="164" spans="1:8" x14ac:dyDescent="0.3">
      <c r="A164" s="111" t="s">
        <v>322</v>
      </c>
      <c r="B164" s="111"/>
      <c r="C164" s="111"/>
      <c r="D164" s="111"/>
      <c r="E164" s="111"/>
      <c r="F164" s="111"/>
      <c r="G164" s="111"/>
      <c r="H164" s="111"/>
    </row>
    <row r="165" spans="1:8" x14ac:dyDescent="0.3">
      <c r="A165" s="111" t="s">
        <v>212</v>
      </c>
      <c r="B165" s="111"/>
      <c r="C165" s="111"/>
      <c r="D165" s="111"/>
      <c r="E165" s="111"/>
      <c r="F165" s="111"/>
      <c r="G165" s="111"/>
      <c r="H165" s="111"/>
    </row>
    <row r="166" spans="1:8" x14ac:dyDescent="0.3">
      <c r="A166" s="111" t="s">
        <v>335</v>
      </c>
      <c r="B166" s="111"/>
      <c r="C166" s="111"/>
      <c r="D166" s="111"/>
      <c r="E166" s="111"/>
      <c r="F166" s="111"/>
      <c r="G166" s="111"/>
      <c r="H166" s="111"/>
    </row>
    <row r="167" spans="1:8" x14ac:dyDescent="0.3">
      <c r="A167" s="111" t="s">
        <v>336</v>
      </c>
      <c r="B167" s="111"/>
      <c r="C167" s="111"/>
      <c r="D167" s="111"/>
      <c r="E167" s="111"/>
      <c r="F167" s="111"/>
      <c r="G167" s="111"/>
      <c r="H167" s="111"/>
    </row>
    <row r="168" spans="1:8" x14ac:dyDescent="0.3">
      <c r="A168" s="111" t="s">
        <v>337</v>
      </c>
      <c r="B168" s="111"/>
      <c r="C168" s="111"/>
      <c r="D168" s="111"/>
      <c r="E168" s="111"/>
      <c r="F168" s="111"/>
      <c r="G168" s="111"/>
      <c r="H168" s="111"/>
    </row>
    <row r="169" spans="1:8" x14ac:dyDescent="0.3">
      <c r="A169" s="111" t="s">
        <v>338</v>
      </c>
      <c r="B169" s="111"/>
      <c r="C169" s="111"/>
      <c r="D169" s="111"/>
      <c r="E169" s="111"/>
      <c r="F169" s="111"/>
      <c r="G169" s="111"/>
      <c r="H169" s="111"/>
    </row>
    <row r="170" spans="1:8" x14ac:dyDescent="0.3">
      <c r="A170" s="111" t="s">
        <v>339</v>
      </c>
      <c r="B170" s="111"/>
      <c r="C170" s="111"/>
      <c r="D170" s="111"/>
      <c r="E170" s="111"/>
      <c r="F170" s="111"/>
      <c r="G170" s="111"/>
      <c r="H170" s="111"/>
    </row>
    <row r="171" spans="1:8" x14ac:dyDescent="0.3">
      <c r="A171" s="111" t="s">
        <v>340</v>
      </c>
      <c r="B171" s="111"/>
      <c r="C171" s="111"/>
      <c r="D171" s="111"/>
      <c r="E171" s="111"/>
      <c r="F171" s="111"/>
      <c r="G171" s="111"/>
      <c r="H171" s="111"/>
    </row>
    <row r="172" spans="1:8" x14ac:dyDescent="0.3">
      <c r="A172" s="111" t="s">
        <v>341</v>
      </c>
      <c r="B172" s="111"/>
      <c r="C172" s="111"/>
      <c r="D172" s="111"/>
      <c r="E172" s="111"/>
      <c r="F172" s="111"/>
      <c r="G172" s="111"/>
      <c r="H172" s="111"/>
    </row>
    <row r="173" spans="1:8" x14ac:dyDescent="0.3">
      <c r="A173" s="111" t="s">
        <v>342</v>
      </c>
      <c r="B173" s="111"/>
      <c r="C173" s="111"/>
      <c r="D173" s="111"/>
      <c r="E173" s="111"/>
      <c r="F173" s="111"/>
      <c r="G173" s="111"/>
      <c r="H173" s="111"/>
    </row>
    <row r="174" spans="1:8" x14ac:dyDescent="0.3">
      <c r="A174" s="111" t="s">
        <v>212</v>
      </c>
      <c r="B174" s="111"/>
      <c r="C174" s="111"/>
      <c r="D174" s="111"/>
      <c r="E174" s="111"/>
      <c r="F174" s="111"/>
      <c r="G174" s="111"/>
      <c r="H174" s="111"/>
    </row>
    <row r="175" spans="1:8" x14ac:dyDescent="0.3">
      <c r="A175" s="111" t="s">
        <v>343</v>
      </c>
      <c r="B175" s="111"/>
      <c r="C175" s="111"/>
      <c r="D175" s="111"/>
      <c r="E175" s="111"/>
      <c r="F175" s="111"/>
      <c r="G175" s="111"/>
      <c r="H175" s="111"/>
    </row>
    <row r="176" spans="1:8" x14ac:dyDescent="0.3">
      <c r="A176" s="111" t="s">
        <v>336</v>
      </c>
      <c r="B176" s="111"/>
      <c r="C176" s="111"/>
      <c r="D176" s="111"/>
      <c r="E176" s="111"/>
      <c r="F176" s="111"/>
      <c r="G176" s="111"/>
      <c r="H176" s="111"/>
    </row>
    <row r="177" spans="1:8" x14ac:dyDescent="0.3">
      <c r="A177" s="111" t="s">
        <v>344</v>
      </c>
      <c r="B177" s="111"/>
      <c r="C177" s="111"/>
      <c r="D177" s="111"/>
      <c r="E177" s="111"/>
      <c r="F177" s="111"/>
      <c r="G177" s="111"/>
      <c r="H177" s="111"/>
    </row>
    <row r="178" spans="1:8" x14ac:dyDescent="0.3">
      <c r="A178" s="111" t="s">
        <v>338</v>
      </c>
      <c r="B178" s="111"/>
      <c r="C178" s="111"/>
      <c r="D178" s="111"/>
      <c r="E178" s="111"/>
      <c r="F178" s="111"/>
      <c r="G178" s="111"/>
      <c r="H178" s="111"/>
    </row>
    <row r="179" spans="1:8" x14ac:dyDescent="0.3">
      <c r="A179" s="111" t="s">
        <v>345</v>
      </c>
      <c r="B179" s="111"/>
      <c r="C179" s="111"/>
      <c r="D179" s="111"/>
      <c r="E179" s="111"/>
      <c r="F179" s="111"/>
      <c r="G179" s="111"/>
      <c r="H179" s="111"/>
    </row>
    <row r="180" spans="1:8" x14ac:dyDescent="0.3">
      <c r="A180" s="111" t="s">
        <v>346</v>
      </c>
      <c r="B180" s="111"/>
      <c r="C180" s="111"/>
      <c r="D180" s="111"/>
      <c r="E180" s="111"/>
      <c r="F180" s="111"/>
      <c r="G180" s="111"/>
      <c r="H180" s="111"/>
    </row>
    <row r="181" spans="1:8" x14ac:dyDescent="0.3">
      <c r="A181" s="111" t="s">
        <v>242</v>
      </c>
      <c r="B181" s="111"/>
      <c r="C181" s="111"/>
      <c r="D181" s="111"/>
      <c r="E181" s="111"/>
      <c r="F181" s="111"/>
      <c r="G181" s="111"/>
      <c r="H181" s="111"/>
    </row>
    <row r="182" spans="1:8" x14ac:dyDescent="0.3">
      <c r="A182" s="111" t="s">
        <v>340</v>
      </c>
      <c r="B182" s="111"/>
      <c r="C182" s="111"/>
      <c r="D182" s="111"/>
      <c r="E182" s="111"/>
      <c r="F182" s="111"/>
      <c r="G182" s="111"/>
      <c r="H182" s="111"/>
    </row>
    <row r="183" spans="1:8" x14ac:dyDescent="0.3">
      <c r="A183" s="111" t="s">
        <v>347</v>
      </c>
      <c r="B183" s="111"/>
      <c r="C183" s="111"/>
      <c r="D183" s="111"/>
      <c r="E183" s="111"/>
      <c r="F183" s="111"/>
      <c r="G183" s="111"/>
      <c r="H183" s="111"/>
    </row>
    <row r="184" spans="1:8" x14ac:dyDescent="0.3">
      <c r="A184" s="111" t="s">
        <v>342</v>
      </c>
      <c r="B184" s="111"/>
      <c r="C184" s="111"/>
      <c r="D184" s="111"/>
      <c r="E184" s="111"/>
      <c r="F184" s="111"/>
      <c r="G184" s="111"/>
      <c r="H184" s="111"/>
    </row>
    <row r="185" spans="1:8" x14ac:dyDescent="0.3">
      <c r="A185" s="111" t="s">
        <v>212</v>
      </c>
      <c r="B185" s="111"/>
      <c r="C185" s="111"/>
      <c r="D185" s="111"/>
      <c r="E185" s="111"/>
      <c r="F185" s="111"/>
      <c r="G185" s="111"/>
      <c r="H185" s="111"/>
    </row>
    <row r="186" spans="1:8" x14ac:dyDescent="0.3">
      <c r="A186" s="111" t="s">
        <v>348</v>
      </c>
      <c r="B186" s="111"/>
      <c r="C186" s="111"/>
      <c r="D186" s="111"/>
      <c r="E186" s="111"/>
      <c r="F186" s="111"/>
      <c r="G186" s="111"/>
      <c r="H186" s="111"/>
    </row>
    <row r="187" spans="1:8" x14ac:dyDescent="0.3">
      <c r="A187" s="111" t="s">
        <v>349</v>
      </c>
      <c r="B187" s="111"/>
      <c r="C187" s="111"/>
      <c r="D187" s="111"/>
      <c r="E187" s="111"/>
      <c r="F187" s="111"/>
      <c r="G187" s="111"/>
      <c r="H187" s="111"/>
    </row>
    <row r="188" spans="1:8" x14ac:dyDescent="0.3">
      <c r="A188" s="111" t="s">
        <v>350</v>
      </c>
      <c r="B188" s="111"/>
      <c r="C188" s="111"/>
      <c r="D188" s="111"/>
      <c r="E188" s="111"/>
      <c r="F188" s="111"/>
      <c r="G188" s="111"/>
      <c r="H188" s="111"/>
    </row>
    <row r="189" spans="1:8" x14ac:dyDescent="0.3">
      <c r="A189" s="111" t="s">
        <v>351</v>
      </c>
      <c r="B189" s="111"/>
      <c r="C189" s="111"/>
      <c r="D189" s="111"/>
      <c r="E189" s="111"/>
      <c r="F189" s="111"/>
      <c r="G189" s="111"/>
      <c r="H189" s="111"/>
    </row>
    <row r="190" spans="1:8" x14ac:dyDescent="0.3">
      <c r="A190" s="111" t="s">
        <v>352</v>
      </c>
      <c r="B190" s="111"/>
      <c r="C190" s="111"/>
      <c r="D190" s="111"/>
      <c r="E190" s="111"/>
      <c r="F190" s="111"/>
      <c r="G190" s="111"/>
      <c r="H190" s="111"/>
    </row>
    <row r="191" spans="1:8" x14ac:dyDescent="0.3">
      <c r="A191" s="111" t="s">
        <v>353</v>
      </c>
      <c r="B191" s="111"/>
      <c r="C191" s="111"/>
      <c r="D191" s="111"/>
      <c r="E191" s="111"/>
      <c r="F191" s="111"/>
      <c r="G191" s="111"/>
      <c r="H191" s="111"/>
    </row>
    <row r="192" spans="1:8" x14ac:dyDescent="0.3">
      <c r="A192" s="111" t="s">
        <v>354</v>
      </c>
      <c r="B192" s="111"/>
      <c r="C192" s="111"/>
      <c r="D192" s="111"/>
      <c r="E192" s="111"/>
      <c r="F192" s="111"/>
      <c r="G192" s="111"/>
      <c r="H192" s="111"/>
    </row>
    <row r="193" spans="1:8" x14ac:dyDescent="0.3">
      <c r="A193" s="111" t="s">
        <v>355</v>
      </c>
      <c r="B193" s="111"/>
      <c r="C193" s="111"/>
      <c r="D193" s="111"/>
      <c r="E193" s="111"/>
      <c r="F193" s="111"/>
      <c r="G193" s="111"/>
      <c r="H193" s="111"/>
    </row>
    <row r="194" spans="1:8" x14ac:dyDescent="0.3">
      <c r="A194" s="111" t="s">
        <v>356</v>
      </c>
      <c r="B194" s="111"/>
      <c r="C194" s="111"/>
      <c r="D194" s="111"/>
      <c r="E194" s="111"/>
      <c r="F194" s="111"/>
      <c r="G194" s="111"/>
      <c r="H194" s="111"/>
    </row>
    <row r="195" spans="1:8" x14ac:dyDescent="0.3">
      <c r="A195" s="111" t="s">
        <v>357</v>
      </c>
      <c r="B195" s="111"/>
      <c r="C195" s="111"/>
      <c r="D195" s="111"/>
      <c r="E195" s="111"/>
      <c r="F195" s="111"/>
      <c r="G195" s="111"/>
      <c r="H195" s="111"/>
    </row>
    <row r="196" spans="1:8" x14ac:dyDescent="0.3">
      <c r="A196" s="111" t="s">
        <v>358</v>
      </c>
      <c r="B196" s="111"/>
      <c r="C196" s="111"/>
      <c r="D196" s="111"/>
      <c r="E196" s="111"/>
      <c r="F196" s="111"/>
      <c r="G196" s="111"/>
      <c r="H196" s="111"/>
    </row>
    <row r="197" spans="1:8" x14ac:dyDescent="0.3">
      <c r="A197" s="111" t="s">
        <v>264</v>
      </c>
      <c r="B197" s="111"/>
      <c r="C197" s="111"/>
      <c r="D197" s="111"/>
      <c r="E197" s="111"/>
      <c r="F197" s="111"/>
      <c r="G197" s="111"/>
      <c r="H197" s="111"/>
    </row>
    <row r="198" spans="1:8" x14ac:dyDescent="0.3">
      <c r="A198" s="111" t="s">
        <v>359</v>
      </c>
      <c r="B198" s="111"/>
      <c r="C198" s="111"/>
      <c r="D198" s="111"/>
      <c r="E198" s="111"/>
      <c r="F198" s="111"/>
      <c r="G198" s="111"/>
      <c r="H198" s="111"/>
    </row>
    <row r="199" spans="1:8" x14ac:dyDescent="0.3">
      <c r="A199" s="111" t="s">
        <v>322</v>
      </c>
      <c r="B199" s="111"/>
      <c r="C199" s="111"/>
      <c r="D199" s="111"/>
      <c r="E199" s="111"/>
      <c r="F199" s="111"/>
      <c r="G199" s="111"/>
      <c r="H199" s="111"/>
    </row>
    <row r="200" spans="1:8" x14ac:dyDescent="0.3">
      <c r="A200" s="111" t="s">
        <v>212</v>
      </c>
      <c r="B200" s="111"/>
      <c r="C200" s="111"/>
      <c r="D200" s="111"/>
      <c r="E200" s="111"/>
      <c r="F200" s="111"/>
      <c r="G200" s="111"/>
      <c r="H200" s="111"/>
    </row>
    <row r="201" spans="1:8" x14ac:dyDescent="0.3">
      <c r="A201" s="111" t="s">
        <v>360</v>
      </c>
      <c r="B201" s="111"/>
      <c r="C201" s="111"/>
      <c r="D201" s="111"/>
      <c r="E201" s="111"/>
      <c r="F201" s="111"/>
      <c r="G201" s="111"/>
      <c r="H201" s="111"/>
    </row>
    <row r="202" spans="1:8" x14ac:dyDescent="0.3">
      <c r="A202" s="111" t="s">
        <v>361</v>
      </c>
      <c r="B202" s="111"/>
      <c r="C202" s="111"/>
      <c r="D202" s="111"/>
      <c r="E202" s="111"/>
      <c r="F202" s="111"/>
      <c r="G202" s="111"/>
      <c r="H202" s="111"/>
    </row>
    <row r="203" spans="1:8" x14ac:dyDescent="0.3">
      <c r="A203" s="111" t="s">
        <v>362</v>
      </c>
      <c r="B203" s="111"/>
      <c r="C203" s="111"/>
      <c r="D203" s="111"/>
      <c r="E203" s="111"/>
      <c r="F203" s="111"/>
      <c r="G203" s="111"/>
      <c r="H203" s="111"/>
    </row>
    <row r="204" spans="1:8" x14ac:dyDescent="0.3">
      <c r="A204" s="111" t="s">
        <v>363</v>
      </c>
      <c r="B204" s="111"/>
      <c r="C204" s="111"/>
      <c r="D204" s="111"/>
      <c r="E204" s="111"/>
      <c r="F204" s="111"/>
      <c r="G204" s="111"/>
      <c r="H204" s="111"/>
    </row>
    <row r="205" spans="1:8" x14ac:dyDescent="0.3">
      <c r="A205" s="111" t="s">
        <v>364</v>
      </c>
      <c r="B205" s="111"/>
      <c r="C205" s="111"/>
      <c r="D205" s="111"/>
      <c r="E205" s="111"/>
      <c r="F205" s="111"/>
      <c r="G205" s="111"/>
      <c r="H205" s="111"/>
    </row>
    <row r="206" spans="1:8" x14ac:dyDescent="0.3">
      <c r="A206" s="111" t="s">
        <v>365</v>
      </c>
      <c r="B206" s="111"/>
      <c r="C206" s="111"/>
      <c r="D206" s="111"/>
      <c r="E206" s="111"/>
      <c r="F206" s="111"/>
      <c r="G206" s="111"/>
      <c r="H206" s="111"/>
    </row>
    <row r="207" spans="1:8" x14ac:dyDescent="0.3">
      <c r="A207" s="111" t="s">
        <v>342</v>
      </c>
      <c r="B207" s="111"/>
      <c r="C207" s="111"/>
      <c r="D207" s="111"/>
      <c r="E207" s="111"/>
      <c r="F207" s="111"/>
      <c r="G207" s="111"/>
      <c r="H207" s="111"/>
    </row>
    <row r="208" spans="1:8" x14ac:dyDescent="0.3">
      <c r="A208" s="111" t="s">
        <v>212</v>
      </c>
      <c r="B208" s="111"/>
      <c r="C208" s="111"/>
      <c r="D208" s="111"/>
      <c r="E208" s="111"/>
      <c r="F208" s="111"/>
      <c r="G208" s="111"/>
      <c r="H208" s="111"/>
    </row>
    <row r="209" spans="1:8" x14ac:dyDescent="0.3">
      <c r="A209" s="111" t="s">
        <v>366</v>
      </c>
      <c r="B209" s="111"/>
      <c r="C209" s="111"/>
      <c r="D209" s="111"/>
      <c r="E209" s="111"/>
      <c r="F209" s="111"/>
      <c r="G209" s="111"/>
      <c r="H209" s="111"/>
    </row>
    <row r="210" spans="1:8" x14ac:dyDescent="0.3">
      <c r="A210" s="111" t="s">
        <v>367</v>
      </c>
      <c r="B210" s="111"/>
      <c r="C210" s="111"/>
      <c r="D210" s="111"/>
      <c r="E210" s="111"/>
      <c r="F210" s="111"/>
      <c r="G210" s="111"/>
      <c r="H210" s="111"/>
    </row>
    <row r="211" spans="1:8" x14ac:dyDescent="0.3">
      <c r="A211" s="111" t="s">
        <v>368</v>
      </c>
      <c r="B211" s="111"/>
      <c r="C211" s="111"/>
      <c r="D211" s="111"/>
      <c r="E211" s="111"/>
      <c r="F211" s="111"/>
      <c r="G211" s="111"/>
      <c r="H211" s="111"/>
    </row>
    <row r="212" spans="1:8" x14ac:dyDescent="0.3">
      <c r="A212" s="111" t="s">
        <v>369</v>
      </c>
      <c r="B212" s="111"/>
      <c r="C212" s="111"/>
      <c r="D212" s="111"/>
      <c r="E212" s="111"/>
      <c r="F212" s="111"/>
      <c r="G212" s="111"/>
      <c r="H212" s="111"/>
    </row>
    <row r="213" spans="1:8" x14ac:dyDescent="0.3">
      <c r="A213" s="111" t="s">
        <v>370</v>
      </c>
      <c r="B213" s="111"/>
      <c r="C213" s="111"/>
      <c r="D213" s="111"/>
      <c r="E213" s="111"/>
      <c r="F213" s="111"/>
      <c r="G213" s="111"/>
      <c r="H213" s="111"/>
    </row>
    <row r="214" spans="1:8" x14ac:dyDescent="0.3">
      <c r="A214" s="111" t="s">
        <v>371</v>
      </c>
      <c r="B214" s="111"/>
      <c r="C214" s="111"/>
      <c r="D214" s="111"/>
      <c r="E214" s="111"/>
      <c r="F214" s="111"/>
      <c r="G214" s="111"/>
      <c r="H214" s="111"/>
    </row>
    <row r="215" spans="1:8" x14ac:dyDescent="0.3">
      <c r="A215" s="111" t="s">
        <v>372</v>
      </c>
      <c r="B215" s="111"/>
      <c r="C215" s="111"/>
      <c r="D215" s="111"/>
      <c r="E215" s="111"/>
      <c r="F215" s="111"/>
      <c r="G215" s="111"/>
      <c r="H215" s="111"/>
    </row>
    <row r="216" spans="1:8" x14ac:dyDescent="0.3">
      <c r="A216" s="111" t="s">
        <v>373</v>
      </c>
      <c r="B216" s="111"/>
      <c r="C216" s="111"/>
      <c r="D216" s="111"/>
      <c r="E216" s="111"/>
      <c r="F216" s="111"/>
      <c r="G216" s="111"/>
      <c r="H216" s="111"/>
    </row>
    <row r="217" spans="1:8" x14ac:dyDescent="0.3">
      <c r="A217" s="111" t="s">
        <v>374</v>
      </c>
      <c r="B217" s="111"/>
      <c r="C217" s="111"/>
      <c r="D217" s="111"/>
      <c r="E217" s="111"/>
      <c r="F217" s="111"/>
      <c r="G217" s="111"/>
      <c r="H217" s="111"/>
    </row>
    <row r="218" spans="1:8" x14ac:dyDescent="0.3">
      <c r="A218" s="111" t="s">
        <v>253</v>
      </c>
      <c r="B218" s="111"/>
      <c r="C218" s="111"/>
      <c r="D218" s="111"/>
      <c r="E218" s="111"/>
      <c r="F218" s="111"/>
      <c r="G218" s="111"/>
      <c r="H218" s="111"/>
    </row>
    <row r="219" spans="1:8" x14ac:dyDescent="0.3">
      <c r="A219" s="111" t="s">
        <v>375</v>
      </c>
      <c r="B219" s="111"/>
      <c r="C219" s="111"/>
      <c r="D219" s="111"/>
      <c r="E219" s="111"/>
      <c r="F219" s="111"/>
      <c r="G219" s="111"/>
      <c r="H219" s="111"/>
    </row>
    <row r="220" spans="1:8" x14ac:dyDescent="0.3">
      <c r="A220" s="111" t="s">
        <v>342</v>
      </c>
      <c r="B220" s="111"/>
      <c r="C220" s="111"/>
      <c r="D220" s="111"/>
      <c r="E220" s="111"/>
      <c r="F220" s="111"/>
      <c r="G220" s="111"/>
      <c r="H220" s="111"/>
    </row>
    <row r="221" spans="1:8" x14ac:dyDescent="0.3">
      <c r="A221" s="111" t="s">
        <v>212</v>
      </c>
      <c r="B221" s="111"/>
      <c r="C221" s="111"/>
      <c r="D221" s="111"/>
      <c r="E221" s="111"/>
      <c r="F221" s="111"/>
      <c r="G221" s="111"/>
      <c r="H221" s="111"/>
    </row>
    <row r="222" spans="1:8" x14ac:dyDescent="0.3">
      <c r="A222" s="111" t="s">
        <v>376</v>
      </c>
      <c r="B222" s="111"/>
      <c r="C222" s="111"/>
      <c r="D222" s="111"/>
      <c r="E222" s="111"/>
      <c r="F222" s="111"/>
      <c r="G222" s="111"/>
      <c r="H222" s="111"/>
    </row>
    <row r="223" spans="1:8" x14ac:dyDescent="0.3">
      <c r="A223" s="111" t="s">
        <v>377</v>
      </c>
      <c r="B223" s="111"/>
      <c r="C223" s="111"/>
      <c r="D223" s="111"/>
      <c r="E223" s="111"/>
      <c r="F223" s="111"/>
      <c r="G223" s="111"/>
      <c r="H223" s="111"/>
    </row>
    <row r="224" spans="1:8" x14ac:dyDescent="0.3">
      <c r="A224" s="111" t="s">
        <v>378</v>
      </c>
      <c r="B224" s="111"/>
      <c r="C224" s="111"/>
      <c r="D224" s="111"/>
      <c r="E224" s="111"/>
      <c r="F224" s="111"/>
      <c r="G224" s="111"/>
      <c r="H224" s="111"/>
    </row>
    <row r="225" spans="1:8" x14ac:dyDescent="0.3">
      <c r="A225" s="111" t="s">
        <v>379</v>
      </c>
      <c r="B225" s="111"/>
      <c r="C225" s="111"/>
      <c r="D225" s="111"/>
      <c r="E225" s="111"/>
      <c r="F225" s="111"/>
      <c r="G225" s="111"/>
      <c r="H225" s="111"/>
    </row>
    <row r="226" spans="1:8" x14ac:dyDescent="0.3">
      <c r="A226" s="111" t="s">
        <v>380</v>
      </c>
      <c r="B226" s="111"/>
      <c r="C226" s="111"/>
      <c r="D226" s="111"/>
      <c r="E226" s="111"/>
      <c r="F226" s="111"/>
      <c r="G226" s="111"/>
      <c r="H226" s="111"/>
    </row>
    <row r="227" spans="1:8" x14ac:dyDescent="0.3">
      <c r="A227" s="111" t="s">
        <v>381</v>
      </c>
      <c r="B227" s="111"/>
      <c r="C227" s="111"/>
      <c r="D227" s="111"/>
      <c r="E227" s="111"/>
      <c r="F227" s="111"/>
      <c r="G227" s="111"/>
      <c r="H227" s="111"/>
    </row>
    <row r="228" spans="1:8" x14ac:dyDescent="0.3">
      <c r="A228" s="111" t="s">
        <v>382</v>
      </c>
      <c r="B228" s="111"/>
      <c r="C228" s="111"/>
      <c r="D228" s="111"/>
      <c r="E228" s="111"/>
      <c r="F228" s="111"/>
      <c r="G228" s="111"/>
      <c r="H228" s="111"/>
    </row>
    <row r="229" spans="1:8" x14ac:dyDescent="0.3">
      <c r="A229" s="111" t="s">
        <v>383</v>
      </c>
      <c r="B229" s="111"/>
      <c r="C229" s="111"/>
      <c r="D229" s="111"/>
      <c r="E229" s="111"/>
      <c r="F229" s="111"/>
      <c r="G229" s="111"/>
      <c r="H229" s="111"/>
    </row>
    <row r="230" spans="1:8" x14ac:dyDescent="0.3">
      <c r="A230" s="111" t="s">
        <v>384</v>
      </c>
      <c r="B230" s="111"/>
      <c r="C230" s="111"/>
      <c r="D230" s="111"/>
      <c r="E230" s="111"/>
      <c r="F230" s="111"/>
      <c r="G230" s="111"/>
      <c r="H230" s="111"/>
    </row>
    <row r="231" spans="1:8" x14ac:dyDescent="0.3">
      <c r="A231" s="111" t="s">
        <v>385</v>
      </c>
      <c r="B231" s="111"/>
      <c r="C231" s="111"/>
      <c r="D231" s="111"/>
      <c r="E231" s="111"/>
      <c r="F231" s="111"/>
      <c r="G231" s="111"/>
      <c r="H231" s="111"/>
    </row>
    <row r="232" spans="1:8" x14ac:dyDescent="0.3">
      <c r="A232" s="111" t="s">
        <v>386</v>
      </c>
      <c r="B232" s="111"/>
      <c r="C232" s="111"/>
      <c r="D232" s="111"/>
      <c r="E232" s="111"/>
      <c r="F232" s="111"/>
      <c r="G232" s="111"/>
      <c r="H232" s="111"/>
    </row>
    <row r="233" spans="1:8" x14ac:dyDescent="0.3">
      <c r="A233" s="111" t="s">
        <v>387</v>
      </c>
      <c r="B233" s="111"/>
      <c r="C233" s="111"/>
      <c r="D233" s="111"/>
      <c r="E233" s="111"/>
      <c r="F233" s="111"/>
      <c r="G233" s="111"/>
      <c r="H233" s="111"/>
    </row>
    <row r="234" spans="1:8" x14ac:dyDescent="0.3">
      <c r="A234" s="111" t="s">
        <v>388</v>
      </c>
      <c r="B234" s="111"/>
      <c r="C234" s="111"/>
      <c r="D234" s="111"/>
      <c r="E234" s="111"/>
      <c r="F234" s="111"/>
      <c r="G234" s="111"/>
      <c r="H234" s="111"/>
    </row>
    <row r="235" spans="1:8" x14ac:dyDescent="0.3">
      <c r="A235" s="111" t="s">
        <v>242</v>
      </c>
      <c r="B235" s="111"/>
      <c r="C235" s="111"/>
      <c r="D235" s="111"/>
      <c r="E235" s="111"/>
      <c r="F235" s="111"/>
      <c r="G235" s="111"/>
      <c r="H235" s="111"/>
    </row>
    <row r="236" spans="1:8" x14ac:dyDescent="0.3">
      <c r="A236" s="111" t="s">
        <v>389</v>
      </c>
      <c r="B236" s="111"/>
      <c r="C236" s="111"/>
      <c r="D236" s="111"/>
      <c r="E236" s="111"/>
      <c r="F236" s="111"/>
      <c r="G236" s="111"/>
      <c r="H236" s="111"/>
    </row>
    <row r="237" spans="1:8" x14ac:dyDescent="0.3">
      <c r="A237" s="111" t="s">
        <v>322</v>
      </c>
      <c r="B237" s="111"/>
      <c r="C237" s="111"/>
      <c r="D237" s="111"/>
      <c r="E237" s="111"/>
      <c r="F237" s="111"/>
      <c r="G237" s="111"/>
      <c r="H237" s="111"/>
    </row>
    <row r="238" spans="1:8" x14ac:dyDescent="0.3">
      <c r="A238" s="111" t="s">
        <v>212</v>
      </c>
      <c r="B238" s="111"/>
      <c r="C238" s="111"/>
      <c r="D238" s="111"/>
      <c r="E238" s="111"/>
      <c r="F238" s="111"/>
      <c r="G238" s="111"/>
      <c r="H238" s="111"/>
    </row>
    <row r="239" spans="1:8" x14ac:dyDescent="0.3">
      <c r="A239" s="111" t="s">
        <v>390</v>
      </c>
      <c r="B239" s="111"/>
      <c r="C239" s="111"/>
      <c r="D239" s="111"/>
      <c r="E239" s="111"/>
      <c r="F239" s="111"/>
      <c r="G239" s="111"/>
      <c r="H239" s="111"/>
    </row>
    <row r="240" spans="1:8" x14ac:dyDescent="0.3">
      <c r="A240" s="111" t="s">
        <v>391</v>
      </c>
      <c r="B240" s="111"/>
      <c r="C240" s="111"/>
      <c r="D240" s="111"/>
      <c r="E240" s="111"/>
      <c r="F240" s="111"/>
      <c r="G240" s="111"/>
      <c r="H240" s="111"/>
    </row>
    <row r="241" spans="1:8" x14ac:dyDescent="0.3">
      <c r="A241" s="111" t="s">
        <v>336</v>
      </c>
      <c r="B241" s="111"/>
      <c r="C241" s="111"/>
      <c r="D241" s="111"/>
      <c r="E241" s="111"/>
      <c r="F241" s="111"/>
      <c r="G241" s="111"/>
      <c r="H241" s="111"/>
    </row>
    <row r="242" spans="1:8" x14ac:dyDescent="0.3">
      <c r="A242" s="111" t="s">
        <v>392</v>
      </c>
      <c r="B242" s="111"/>
      <c r="C242" s="111"/>
      <c r="D242" s="111"/>
      <c r="E242" s="111"/>
      <c r="F242" s="111"/>
      <c r="G242" s="111"/>
      <c r="H242" s="111"/>
    </row>
    <row r="243" spans="1:8" x14ac:dyDescent="0.3">
      <c r="A243" s="111" t="s">
        <v>338</v>
      </c>
      <c r="B243" s="111"/>
      <c r="C243" s="111"/>
      <c r="D243" s="111"/>
      <c r="E243" s="111"/>
      <c r="F243" s="111"/>
      <c r="G243" s="111"/>
      <c r="H243" s="111"/>
    </row>
    <row r="244" spans="1:8" x14ac:dyDescent="0.3">
      <c r="A244" s="111" t="s">
        <v>345</v>
      </c>
      <c r="B244" s="111"/>
      <c r="C244" s="111"/>
      <c r="D244" s="111"/>
      <c r="E244" s="111"/>
      <c r="F244" s="111"/>
      <c r="G244" s="111"/>
      <c r="H244" s="111"/>
    </row>
    <row r="245" spans="1:8" x14ac:dyDescent="0.3">
      <c r="A245" s="111" t="s">
        <v>393</v>
      </c>
      <c r="B245" s="111"/>
      <c r="C245" s="111"/>
      <c r="D245" s="111"/>
      <c r="E245" s="111"/>
      <c r="F245" s="111"/>
      <c r="G245" s="111"/>
      <c r="H245" s="111"/>
    </row>
    <row r="246" spans="1:8" x14ac:dyDescent="0.3">
      <c r="A246" s="111" t="s">
        <v>394</v>
      </c>
      <c r="B246" s="111"/>
      <c r="C246" s="111"/>
      <c r="D246" s="111"/>
      <c r="E246" s="111"/>
      <c r="F246" s="111"/>
      <c r="G246" s="111"/>
      <c r="H246" s="111"/>
    </row>
    <row r="247" spans="1:8" x14ac:dyDescent="0.3">
      <c r="A247" s="111" t="s">
        <v>395</v>
      </c>
      <c r="B247" s="111"/>
      <c r="C247" s="111"/>
      <c r="D247" s="111"/>
      <c r="E247" s="111"/>
      <c r="F247" s="111"/>
      <c r="G247" s="111"/>
      <c r="H247" s="111"/>
    </row>
    <row r="248" spans="1:8" x14ac:dyDescent="0.3">
      <c r="A248" s="111" t="s">
        <v>396</v>
      </c>
      <c r="B248" s="111"/>
      <c r="C248" s="111"/>
      <c r="D248" s="111"/>
      <c r="E248" s="111"/>
      <c r="F248" s="111"/>
      <c r="G248" s="111"/>
      <c r="H248" s="111"/>
    </row>
    <row r="249" spans="1:8" x14ac:dyDescent="0.3">
      <c r="A249" s="111" t="s">
        <v>242</v>
      </c>
      <c r="B249" s="111"/>
      <c r="C249" s="111"/>
      <c r="D249" s="111"/>
      <c r="E249" s="111"/>
      <c r="F249" s="111"/>
      <c r="G249" s="111"/>
      <c r="H249" s="111"/>
    </row>
    <row r="250" spans="1:8" x14ac:dyDescent="0.3">
      <c r="A250" s="111" t="s">
        <v>340</v>
      </c>
      <c r="B250" s="111"/>
      <c r="C250" s="111"/>
      <c r="D250" s="111"/>
      <c r="E250" s="111"/>
      <c r="F250" s="111"/>
      <c r="G250" s="111"/>
      <c r="H250" s="111"/>
    </row>
    <row r="251" spans="1:8" x14ac:dyDescent="0.3">
      <c r="A251" s="111" t="s">
        <v>397</v>
      </c>
      <c r="B251" s="111"/>
      <c r="C251" s="111"/>
      <c r="D251" s="111"/>
      <c r="E251" s="111"/>
      <c r="F251" s="111"/>
      <c r="G251" s="111"/>
      <c r="H251" s="111"/>
    </row>
    <row r="252" spans="1:8" x14ac:dyDescent="0.3">
      <c r="A252" s="111" t="s">
        <v>398</v>
      </c>
      <c r="B252" s="111"/>
      <c r="C252" s="111"/>
      <c r="D252" s="111"/>
      <c r="E252" s="111"/>
      <c r="F252" s="111"/>
      <c r="G252" s="111"/>
      <c r="H252" s="111"/>
    </row>
    <row r="253" spans="1:8" x14ac:dyDescent="0.3">
      <c r="A253" s="111" t="s">
        <v>253</v>
      </c>
      <c r="B253" s="111"/>
      <c r="C253" s="111"/>
      <c r="D253" s="111"/>
      <c r="E253" s="111"/>
      <c r="F253" s="111"/>
      <c r="G253" s="111"/>
      <c r="H253" s="111"/>
    </row>
    <row r="254" spans="1:8" x14ac:dyDescent="0.3">
      <c r="A254" s="111" t="s">
        <v>399</v>
      </c>
      <c r="B254" s="111"/>
      <c r="C254" s="111"/>
      <c r="D254" s="111"/>
      <c r="E254" s="111"/>
      <c r="F254" s="111"/>
      <c r="G254" s="111"/>
      <c r="H254" s="111"/>
    </row>
    <row r="255" spans="1:8" x14ac:dyDescent="0.3">
      <c r="A255" s="111" t="s">
        <v>342</v>
      </c>
      <c r="B255" s="111"/>
      <c r="C255" s="111"/>
      <c r="D255" s="111"/>
      <c r="E255" s="111"/>
      <c r="F255" s="111"/>
      <c r="G255" s="111"/>
      <c r="H255" s="111"/>
    </row>
    <row r="256" spans="1:8" x14ac:dyDescent="0.3">
      <c r="A256" s="111" t="s">
        <v>212</v>
      </c>
      <c r="B256" s="111"/>
      <c r="C256" s="111"/>
      <c r="D256" s="111"/>
      <c r="E256" s="111"/>
      <c r="F256" s="111"/>
      <c r="G256" s="111"/>
      <c r="H256" s="111"/>
    </row>
    <row r="257" spans="1:8" x14ac:dyDescent="0.3">
      <c r="A257" s="111" t="s">
        <v>400</v>
      </c>
      <c r="B257" s="111"/>
      <c r="C257" s="111"/>
      <c r="D257" s="111"/>
      <c r="E257" s="111"/>
      <c r="F257" s="111"/>
      <c r="G257" s="111"/>
      <c r="H257" s="111"/>
    </row>
    <row r="258" spans="1:8" x14ac:dyDescent="0.3">
      <c r="A258" s="111" t="s">
        <v>336</v>
      </c>
      <c r="B258" s="111"/>
      <c r="C258" s="111"/>
      <c r="D258" s="111"/>
      <c r="E258" s="111"/>
      <c r="F258" s="111"/>
      <c r="G258" s="111"/>
      <c r="H258" s="111"/>
    </row>
    <row r="259" spans="1:8" x14ac:dyDescent="0.3">
      <c r="A259" s="111" t="s">
        <v>392</v>
      </c>
      <c r="B259" s="111"/>
      <c r="C259" s="111"/>
      <c r="D259" s="111"/>
      <c r="E259" s="111"/>
      <c r="F259" s="111"/>
      <c r="G259" s="111"/>
      <c r="H259" s="111"/>
    </row>
    <row r="260" spans="1:8" x14ac:dyDescent="0.3">
      <c r="A260" s="111" t="s">
        <v>338</v>
      </c>
      <c r="B260" s="111"/>
      <c r="C260" s="111"/>
      <c r="D260" s="111"/>
      <c r="E260" s="111"/>
      <c r="F260" s="111"/>
      <c r="G260" s="111"/>
      <c r="H260" s="111"/>
    </row>
    <row r="261" spans="1:8" x14ac:dyDescent="0.3">
      <c r="A261" s="111" t="s">
        <v>345</v>
      </c>
      <c r="B261" s="111"/>
      <c r="C261" s="111"/>
      <c r="D261" s="111"/>
      <c r="E261" s="111"/>
      <c r="F261" s="111"/>
      <c r="G261" s="111"/>
      <c r="H261" s="111"/>
    </row>
    <row r="262" spans="1:8" x14ac:dyDescent="0.3">
      <c r="A262" s="111" t="s">
        <v>393</v>
      </c>
      <c r="B262" s="111"/>
      <c r="C262" s="111"/>
      <c r="D262" s="111"/>
      <c r="E262" s="111"/>
      <c r="F262" s="111"/>
      <c r="G262" s="111"/>
      <c r="H262" s="111"/>
    </row>
    <row r="263" spans="1:8" x14ac:dyDescent="0.3">
      <c r="A263" s="111" t="s">
        <v>394</v>
      </c>
      <c r="B263" s="111"/>
      <c r="C263" s="111"/>
      <c r="D263" s="111"/>
      <c r="E263" s="111"/>
      <c r="F263" s="111"/>
      <c r="G263" s="111"/>
      <c r="H263" s="111"/>
    </row>
    <row r="264" spans="1:8" x14ac:dyDescent="0.3">
      <c r="A264" s="111" t="s">
        <v>401</v>
      </c>
      <c r="B264" s="111"/>
      <c r="C264" s="111"/>
      <c r="D264" s="111"/>
      <c r="E264" s="111"/>
      <c r="F264" s="111"/>
      <c r="G264" s="111"/>
      <c r="H264" s="111"/>
    </row>
    <row r="265" spans="1:8" x14ac:dyDescent="0.3">
      <c r="A265" s="111" t="s">
        <v>396</v>
      </c>
      <c r="B265" s="111"/>
      <c r="C265" s="111"/>
      <c r="D265" s="111"/>
      <c r="E265" s="111"/>
      <c r="F265" s="111"/>
      <c r="G265" s="111"/>
      <c r="H265" s="111"/>
    </row>
    <row r="266" spans="1:8" x14ac:dyDescent="0.3">
      <c r="A266" s="111" t="s">
        <v>242</v>
      </c>
      <c r="B266" s="111"/>
      <c r="C266" s="111"/>
      <c r="D266" s="111"/>
      <c r="E266" s="111"/>
      <c r="F266" s="111"/>
      <c r="G266" s="111"/>
      <c r="H266" s="111"/>
    </row>
    <row r="267" spans="1:8" x14ac:dyDescent="0.3">
      <c r="A267" s="111" t="s">
        <v>340</v>
      </c>
      <c r="B267" s="111"/>
      <c r="C267" s="111"/>
      <c r="D267" s="111"/>
      <c r="E267" s="111"/>
      <c r="F267" s="111"/>
      <c r="G267" s="111"/>
      <c r="H267" s="111"/>
    </row>
    <row r="268" spans="1:8" x14ac:dyDescent="0.3">
      <c r="A268" s="111" t="s">
        <v>322</v>
      </c>
      <c r="B268" s="111"/>
      <c r="C268" s="111"/>
      <c r="D268" s="111"/>
      <c r="E268" s="111"/>
      <c r="F268" s="111"/>
      <c r="G268" s="111"/>
      <c r="H268" s="111"/>
    </row>
    <row r="269" spans="1:8" x14ac:dyDescent="0.3">
      <c r="A269" s="111" t="s">
        <v>212</v>
      </c>
      <c r="B269" s="111"/>
      <c r="C269" s="111"/>
      <c r="D269" s="111"/>
      <c r="E269" s="111"/>
      <c r="F269" s="111"/>
      <c r="G269" s="111"/>
      <c r="H269" s="111"/>
    </row>
    <row r="270" spans="1:8" x14ac:dyDescent="0.3">
      <c r="A270" s="111" t="s">
        <v>402</v>
      </c>
      <c r="B270" s="111"/>
      <c r="C270" s="111"/>
      <c r="D270" s="111"/>
      <c r="E270" s="111"/>
      <c r="F270" s="111"/>
      <c r="G270" s="111"/>
      <c r="H270" s="111"/>
    </row>
    <row r="271" spans="1:8" x14ac:dyDescent="0.3">
      <c r="A271" s="111" t="s">
        <v>214</v>
      </c>
      <c r="B271" s="111"/>
      <c r="C271" s="111"/>
      <c r="D271" s="111"/>
      <c r="E271" s="111"/>
      <c r="F271" s="111"/>
      <c r="G271" s="111"/>
      <c r="H271" s="111"/>
    </row>
    <row r="272" spans="1:8" x14ac:dyDescent="0.3">
      <c r="A272" s="111" t="s">
        <v>403</v>
      </c>
      <c r="B272" s="111"/>
      <c r="C272" s="111"/>
      <c r="D272" s="111"/>
      <c r="E272" s="111"/>
      <c r="F272" s="111"/>
      <c r="G272" s="111"/>
      <c r="H272" s="111"/>
    </row>
    <row r="273" spans="1:8" x14ac:dyDescent="0.3">
      <c r="A273" s="111" t="s">
        <v>273</v>
      </c>
      <c r="B273" s="111"/>
      <c r="C273" s="111"/>
      <c r="D273" s="111"/>
      <c r="E273" s="111"/>
      <c r="F273" s="111"/>
      <c r="G273" s="111"/>
      <c r="H273" s="111"/>
    </row>
    <row r="274" spans="1:8" x14ac:dyDescent="0.3">
      <c r="A274" s="111" t="s">
        <v>404</v>
      </c>
      <c r="B274" s="111"/>
      <c r="C274" s="111"/>
      <c r="D274" s="111"/>
      <c r="E274" s="111"/>
      <c r="F274" s="111"/>
      <c r="G274" s="111"/>
      <c r="H274" s="111"/>
    </row>
    <row r="275" spans="1:8" x14ac:dyDescent="0.3">
      <c r="A275" s="111" t="s">
        <v>243</v>
      </c>
      <c r="B275" s="111"/>
      <c r="C275" s="111"/>
      <c r="D275" s="111"/>
      <c r="E275" s="111"/>
      <c r="F275" s="111"/>
      <c r="G275" s="111"/>
      <c r="H275" s="111"/>
    </row>
    <row r="276" spans="1:8" x14ac:dyDescent="0.3">
      <c r="A276" s="111" t="s">
        <v>322</v>
      </c>
      <c r="B276" s="111"/>
      <c r="C276" s="111"/>
      <c r="D276" s="111"/>
      <c r="E276" s="111"/>
      <c r="F276" s="111"/>
      <c r="G276" s="111"/>
      <c r="H276" s="111"/>
    </row>
    <row r="277" spans="1:8" x14ac:dyDescent="0.3">
      <c r="A277" s="111" t="s">
        <v>212</v>
      </c>
      <c r="B277" s="111"/>
      <c r="C277" s="111"/>
      <c r="D277" s="111"/>
      <c r="E277" s="111"/>
      <c r="F277" s="111"/>
      <c r="G277" s="111"/>
      <c r="H277" s="111"/>
    </row>
    <row r="278" spans="1:8" x14ac:dyDescent="0.3">
      <c r="A278" s="111" t="s">
        <v>405</v>
      </c>
      <c r="B278" s="111"/>
      <c r="C278" s="111"/>
      <c r="D278" s="111"/>
      <c r="E278" s="111"/>
      <c r="F278" s="111"/>
      <c r="G278" s="111"/>
      <c r="H278" s="111"/>
    </row>
    <row r="279" spans="1:8" x14ac:dyDescent="0.3">
      <c r="A279" s="111" t="s">
        <v>214</v>
      </c>
      <c r="B279" s="111"/>
      <c r="C279" s="111"/>
      <c r="D279" s="111"/>
      <c r="E279" s="111"/>
      <c r="F279" s="111"/>
      <c r="G279" s="111"/>
      <c r="H279" s="111"/>
    </row>
    <row r="280" spans="1:8" x14ac:dyDescent="0.3">
      <c r="A280" s="111" t="s">
        <v>406</v>
      </c>
      <c r="B280" s="111"/>
      <c r="C280" s="111"/>
      <c r="D280" s="111"/>
      <c r="E280" s="111"/>
      <c r="F280" s="111"/>
      <c r="G280" s="111"/>
      <c r="H280" s="111"/>
    </row>
    <row r="281" spans="1:8" x14ac:dyDescent="0.3">
      <c r="A281" s="111" t="s">
        <v>403</v>
      </c>
      <c r="B281" s="111"/>
      <c r="C281" s="111"/>
      <c r="D281" s="111"/>
      <c r="E281" s="111"/>
      <c r="F281" s="111"/>
      <c r="G281" s="111"/>
      <c r="H281" s="111"/>
    </row>
    <row r="282" spans="1:8" x14ac:dyDescent="0.3">
      <c r="A282" s="111" t="s">
        <v>273</v>
      </c>
      <c r="B282" s="111"/>
      <c r="C282" s="111"/>
      <c r="D282" s="111"/>
      <c r="E282" s="111"/>
      <c r="F282" s="111"/>
      <c r="G282" s="111"/>
      <c r="H282" s="111"/>
    </row>
    <row r="283" spans="1:8" x14ac:dyDescent="0.3">
      <c r="A283" s="111" t="s">
        <v>404</v>
      </c>
      <c r="B283" s="111"/>
      <c r="C283" s="111"/>
      <c r="D283" s="111"/>
      <c r="E283" s="111"/>
      <c r="F283" s="111"/>
      <c r="G283" s="111"/>
      <c r="H283" s="111"/>
    </row>
    <row r="284" spans="1:8" x14ac:dyDescent="0.3">
      <c r="A284" s="111" t="s">
        <v>243</v>
      </c>
      <c r="B284" s="111"/>
      <c r="C284" s="111"/>
      <c r="D284" s="111"/>
      <c r="E284" s="111"/>
      <c r="F284" s="111"/>
      <c r="G284" s="111"/>
      <c r="H284" s="111"/>
    </row>
    <row r="285" spans="1:8" x14ac:dyDescent="0.3">
      <c r="A285" s="111" t="s">
        <v>407</v>
      </c>
      <c r="B285" s="111"/>
      <c r="C285" s="111"/>
      <c r="D285" s="111"/>
      <c r="E285" s="111"/>
      <c r="F285" s="111"/>
      <c r="G285" s="111"/>
      <c r="H285" s="111"/>
    </row>
    <row r="286" spans="1:8" x14ac:dyDescent="0.3">
      <c r="A286" s="111" t="s">
        <v>408</v>
      </c>
      <c r="B286" s="111"/>
      <c r="C286" s="111"/>
      <c r="D286" s="111"/>
      <c r="E286" s="111"/>
      <c r="F286" s="111"/>
      <c r="G286" s="111"/>
      <c r="H286" s="111"/>
    </row>
    <row r="287" spans="1:8" x14ac:dyDescent="0.3">
      <c r="A287" s="111" t="s">
        <v>409</v>
      </c>
      <c r="B287" s="111"/>
      <c r="C287" s="111"/>
      <c r="D287" s="111"/>
      <c r="E287" s="111"/>
      <c r="F287" s="111"/>
      <c r="G287" s="111"/>
      <c r="H287" s="111"/>
    </row>
    <row r="288" spans="1:8" x14ac:dyDescent="0.3">
      <c r="A288" s="111" t="s">
        <v>243</v>
      </c>
      <c r="B288" s="111"/>
      <c r="C288" s="111"/>
      <c r="D288" s="111"/>
      <c r="E288" s="111"/>
      <c r="F288" s="111"/>
      <c r="G288" s="111"/>
      <c r="H288" s="111"/>
    </row>
    <row r="289" spans="1:8" x14ac:dyDescent="0.3">
      <c r="A289" s="111" t="s">
        <v>410</v>
      </c>
      <c r="B289" s="111"/>
      <c r="C289" s="111"/>
      <c r="D289" s="111"/>
      <c r="E289" s="111"/>
      <c r="F289" s="111"/>
      <c r="G289" s="111"/>
      <c r="H289" s="111"/>
    </row>
    <row r="290" spans="1:8" x14ac:dyDescent="0.3">
      <c r="A290" s="111" t="s">
        <v>322</v>
      </c>
      <c r="B290" s="111"/>
      <c r="C290" s="111"/>
      <c r="D290" s="111"/>
      <c r="E290" s="111"/>
      <c r="F290" s="111"/>
      <c r="G290" s="111"/>
      <c r="H290" s="111"/>
    </row>
    <row r="291" spans="1:8" x14ac:dyDescent="0.3">
      <c r="A291" s="111" t="s">
        <v>212</v>
      </c>
      <c r="B291" s="111"/>
      <c r="C291" s="111"/>
      <c r="D291" s="111"/>
      <c r="E291" s="111"/>
      <c r="F291" s="111"/>
      <c r="G291" s="111"/>
      <c r="H291" s="111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2026-06-21T23:09:04Z</dcterms:modified>
  <dc:language>en-US</dc:language>
</cp:coreProperties>
</file>